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H:\"/>
    </mc:Choice>
  </mc:AlternateContent>
  <xr:revisionPtr revIDLastSave="0" documentId="13_ncr:1_{48EE5957-052A-4D1F-8A91-93E18366C8AA}" xr6:coauthVersionLast="36" xr6:coauthVersionMax="36" xr10:uidLastSave="{00000000-0000-0000-0000-000000000000}"/>
  <bookViews>
    <workbookView xWindow="0" yWindow="0" windowWidth="28800" windowHeight="12225" activeTab="8" xr2:uid="{4D76367B-FB4F-499A-8B56-63A4B19778FD}"/>
  </bookViews>
  <sheets>
    <sheet name="Dashboard" sheetId="1" r:id="rId1"/>
    <sheet name="Data" sheetId="4" state="hidden" r:id="rId2"/>
    <sheet name="Compensation Numbers" sheetId="3" state="hidden" r:id="rId3"/>
    <sheet name="Location Variance" sheetId="11" state="hidden" r:id="rId4"/>
    <sheet name="Calculations" sheetId="2" state="hidden" r:id="rId5"/>
    <sheet name="Income Distribution" sheetId="13" state="hidden" r:id="rId6"/>
    <sheet name="Asset Distribution" sheetId="14" state="hidden" r:id="rId7"/>
    <sheet name="Age Multiplier" sheetId="15" state="hidden" r:id="rId8"/>
    <sheet name="Documentation" sheetId="10" r:id="rId9"/>
  </sheets>
  <definedNames>
    <definedName name="_xlnm._FilterDatabase" localSheetId="4" hidden="1">Calculations!$E$2:$K$2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2" l="1"/>
  <c r="D2" i="2"/>
  <c r="C7" i="1" l="1"/>
  <c r="H15" i="2" s="1"/>
  <c r="C17" i="1"/>
  <c r="I15" i="2" s="1"/>
  <c r="N7" i="13"/>
  <c r="O7" i="13" s="1"/>
  <c r="N6" i="13"/>
  <c r="O6" i="13" s="1"/>
  <c r="N5" i="13"/>
  <c r="O5" i="13" s="1"/>
  <c r="N4" i="13"/>
  <c r="O4" i="13" s="1"/>
  <c r="O8" i="13"/>
  <c r="D5" i="2"/>
  <c r="C4" i="1" s="1"/>
  <c r="D4" i="2"/>
  <c r="C3" i="1" s="1"/>
  <c r="I13" i="2"/>
  <c r="H13" i="2"/>
  <c r="G13" i="2"/>
  <c r="F13" i="2"/>
  <c r="E13" i="2"/>
  <c r="D13" i="2"/>
  <c r="J15" i="2"/>
  <c r="J16" i="2" s="1"/>
  <c r="I8" i="1" s="1"/>
  <c r="G15" i="2"/>
  <c r="E15" i="2"/>
  <c r="D15" i="2"/>
  <c r="G121" i="3"/>
  <c r="G119" i="3"/>
  <c r="G120" i="3"/>
  <c r="G118" i="3"/>
  <c r="J18" i="2" l="1"/>
  <c r="I16" i="1" s="1"/>
  <c r="O9" i="13"/>
  <c r="D124" i="3"/>
  <c r="D123" i="3"/>
  <c r="C124" i="3"/>
  <c r="D127" i="3"/>
  <c r="D126" i="3"/>
  <c r="C128" i="3"/>
  <c r="D131" i="3"/>
  <c r="C127" i="3"/>
  <c r="C125" i="3"/>
  <c r="C131" i="3"/>
  <c r="D130" i="3"/>
  <c r="C130" i="3"/>
  <c r="C126" i="3"/>
  <c r="D129" i="3"/>
  <c r="D125" i="3"/>
  <c r="C129" i="3"/>
  <c r="C123" i="3"/>
  <c r="D128" i="3"/>
  <c r="C1" i="3" l="1"/>
  <c r="D1" i="3"/>
  <c r="D6" i="2" l="1"/>
  <c r="D8" i="2" s="1"/>
  <c r="D9" i="2" s="1"/>
  <c r="C19" i="1"/>
  <c r="I18" i="1" s="1"/>
  <c r="D10" i="2" l="1"/>
  <c r="G14" i="2" l="1"/>
  <c r="G16" i="2" s="1"/>
  <c r="I5" i="1" s="1"/>
  <c r="F14" i="2"/>
  <c r="F16" i="2" s="1"/>
  <c r="F18" i="2" s="1"/>
  <c r="D14" i="2"/>
  <c r="D16" i="2" s="1"/>
  <c r="D18" i="2" s="1"/>
  <c r="I11" i="1" s="1"/>
  <c r="H14" i="2"/>
  <c r="H16" i="2" s="1"/>
  <c r="E14" i="2"/>
  <c r="E16" i="2" s="1"/>
  <c r="E18" i="2" s="1"/>
  <c r="I12" i="1" s="1"/>
  <c r="I14" i="2"/>
  <c r="I16" i="2" s="1"/>
  <c r="I18" i="2" l="1"/>
  <c r="I15" i="1" s="1"/>
  <c r="I7" i="1"/>
  <c r="H18" i="2"/>
  <c r="I14" i="1" s="1"/>
  <c r="I6" i="1"/>
  <c r="I4" i="1"/>
  <c r="G18" i="2"/>
  <c r="I13" i="1" s="1"/>
  <c r="I3" i="1"/>
</calcChain>
</file>

<file path=xl/sharedStrings.xml><?xml version="1.0" encoding="utf-8"?>
<sst xmlns="http://schemas.openxmlformats.org/spreadsheetml/2006/main" count="638" uniqueCount="488">
  <si>
    <t>Income:</t>
  </si>
  <si>
    <t>Main</t>
  </si>
  <si>
    <t>Spouse</t>
  </si>
  <si>
    <t>Real Estate:</t>
  </si>
  <si>
    <t>Home</t>
  </si>
  <si>
    <t>Other</t>
  </si>
  <si>
    <t>Unsold Stock</t>
  </si>
  <si>
    <t>Sold Stock</t>
  </si>
  <si>
    <t>Other Assets:</t>
  </si>
  <si>
    <t>Known Wealth</t>
  </si>
  <si>
    <t>Foundation Wealth</t>
  </si>
  <si>
    <t>Other Valuables</t>
  </si>
  <si>
    <t>Number to Institution</t>
  </si>
  <si>
    <t>Largest to Other Institution</t>
  </si>
  <si>
    <t xml:space="preserve">Largest to Institution </t>
  </si>
  <si>
    <t>Giving (Annual Giving):</t>
  </si>
  <si>
    <t>Primary Care</t>
  </si>
  <si>
    <t>Plastic Surgery</t>
  </si>
  <si>
    <t>Orthopedics</t>
  </si>
  <si>
    <t>Cardiology</t>
  </si>
  <si>
    <t>Gastroenterology</t>
  </si>
  <si>
    <t>Radiology</t>
  </si>
  <si>
    <t>Dermatology</t>
  </si>
  <si>
    <t>Anesthesiology</t>
  </si>
  <si>
    <t>Otolaryngology</t>
  </si>
  <si>
    <t>Urology</t>
  </si>
  <si>
    <t>Oncology</t>
  </si>
  <si>
    <t>Opthalmology</t>
  </si>
  <si>
    <t>Critical Care</t>
  </si>
  <si>
    <t>Emergency Medicine</t>
  </si>
  <si>
    <t>General Surgery</t>
  </si>
  <si>
    <t>Pulmonary Medicine</t>
  </si>
  <si>
    <t>Ob/Gyn</t>
  </si>
  <si>
    <t>Nephrology</t>
  </si>
  <si>
    <t>Pathology</t>
  </si>
  <si>
    <t>Psychiatry</t>
  </si>
  <si>
    <t>Rheumatology</t>
  </si>
  <si>
    <t>Neurology</t>
  </si>
  <si>
    <t>Infectious Diseases</t>
  </si>
  <si>
    <t>Internal Medicine</t>
  </si>
  <si>
    <t>Family Medicine</t>
  </si>
  <si>
    <t>Pediatrics</t>
  </si>
  <si>
    <t>Rehabilitation</t>
  </si>
  <si>
    <t>Physical Medicine</t>
  </si>
  <si>
    <t>Public Health</t>
  </si>
  <si>
    <t>Preventative Medicine</t>
  </si>
  <si>
    <t>Oral Surgeon</t>
  </si>
  <si>
    <t>Maxillofacial Surgeon</t>
  </si>
  <si>
    <t>Orthodontist</t>
  </si>
  <si>
    <t>Dentofacial Othopedist</t>
  </si>
  <si>
    <t>Pediatric Dentist</t>
  </si>
  <si>
    <t>Periodontist</t>
  </si>
  <si>
    <t>Endodontist</t>
  </si>
  <si>
    <t>Dentist Specialist (Owner)</t>
  </si>
  <si>
    <t>Dentist Specialist (Employed)</t>
  </si>
  <si>
    <t>Dentist General (Owner)</t>
  </si>
  <si>
    <t>Dentist General (Employed)</t>
  </si>
  <si>
    <t>Main Select Career:</t>
  </si>
  <si>
    <t>Main Other Income:</t>
  </si>
  <si>
    <t>Spouse Select Career:</t>
  </si>
  <si>
    <t>Spouse Other Income:</t>
  </si>
  <si>
    <t>Immunology</t>
  </si>
  <si>
    <t>Allergy</t>
  </si>
  <si>
    <t>Total Visible Wealth:</t>
  </si>
  <si>
    <t>Other Real Estate:</t>
  </si>
  <si>
    <t>Investment Bank Associate</t>
  </si>
  <si>
    <t>Investment Bank VP</t>
  </si>
  <si>
    <t>Investment Bank Managing Director</t>
  </si>
  <si>
    <t>Chief Financial Officer</t>
  </si>
  <si>
    <t>Treasurer</t>
  </si>
  <si>
    <t>VP Finance</t>
  </si>
  <si>
    <t>Chief Compliance Officer</t>
  </si>
  <si>
    <t>Chief Audit Executive/VP</t>
  </si>
  <si>
    <t>IT Auditor Manager</t>
  </si>
  <si>
    <t>Financial Reporting Manager</t>
  </si>
  <si>
    <t>SEC Financial Reporting Director</t>
  </si>
  <si>
    <t>Tax Accountant Manager</t>
  </si>
  <si>
    <t>Financial Analyst Manager</t>
  </si>
  <si>
    <t>Accountant Manager</t>
  </si>
  <si>
    <t>Data Analyst Manager</t>
  </si>
  <si>
    <t>Business Analyst Manager</t>
  </si>
  <si>
    <t>Financial Systems Director</t>
  </si>
  <si>
    <t>Tax Services Director</t>
  </si>
  <si>
    <t>Audit Director/Manager</t>
  </si>
  <si>
    <t>Controller</t>
  </si>
  <si>
    <t>Financial Planning Manager</t>
  </si>
  <si>
    <t>Chief Risk Officer</t>
  </si>
  <si>
    <t>Financial Services Managing Director</t>
  </si>
  <si>
    <t>Financial Services VP</t>
  </si>
  <si>
    <t>Financial Services Portfolio Manager</t>
  </si>
  <si>
    <t>Financial Services Director of Operations</t>
  </si>
  <si>
    <t>-----  Medicine  -----</t>
  </si>
  <si>
    <t>-----  Finance -----</t>
  </si>
  <si>
    <t>ID</t>
  </si>
  <si>
    <t>Age</t>
  </si>
  <si>
    <t>Main Income</t>
  </si>
  <si>
    <t>Spouse Income</t>
  </si>
  <si>
    <t>Main Name</t>
  </si>
  <si>
    <t>Spouse Name</t>
  </si>
  <si>
    <t>----- Nursing -----</t>
  </si>
  <si>
    <t>Clinical Nurse Specialist (CNS)</t>
  </si>
  <si>
    <t>Registered Nurse (RN)</t>
  </si>
  <si>
    <t>Licensed Practical Nurse (LPN)</t>
  </si>
  <si>
    <t>Certified Registered Nurse Anesthetist (CRNA)</t>
  </si>
  <si>
    <t>Nurse Practitioner (NP)</t>
  </si>
  <si>
    <t>Nurse Midwife (NM)</t>
  </si>
  <si>
    <t>Endocrinology</t>
  </si>
  <si>
    <t>Diabetes</t>
  </si>
  <si>
    <t>Colon and Rectal Surgery</t>
  </si>
  <si>
    <t>Hemtology</t>
  </si>
  <si>
    <t>Medical Genetics</t>
  </si>
  <si>
    <t>Neurosurgery</t>
  </si>
  <si>
    <t>Nuclear Medicine</t>
  </si>
  <si>
    <t>Occupational Medicine</t>
  </si>
  <si>
    <t>Orthopedic Surgery</t>
  </si>
  <si>
    <t>Radiation Oncology</t>
  </si>
  <si>
    <t>Thoracic Surgery</t>
  </si>
  <si>
    <t>Vascular Surgery</t>
  </si>
  <si>
    <t>Notes</t>
  </si>
  <si>
    <t>San Diego, CA</t>
  </si>
  <si>
    <t>Denver, CO</t>
  </si>
  <si>
    <t>Employees</t>
  </si>
  <si>
    <t>----- Management -----</t>
  </si>
  <si>
    <t>Chief Executive Officer</t>
  </si>
  <si>
    <t>$0 - $4.9</t>
  </si>
  <si>
    <t>$5.0 - $9.9</t>
  </si>
  <si>
    <t>$10.0 - $14.9</t>
  </si>
  <si>
    <t>$15.0 - $24.9</t>
  </si>
  <si>
    <t>$50.0 - $99.9</t>
  </si>
  <si>
    <t>$25.0 - $49.9</t>
  </si>
  <si>
    <t>$100.0 - $249.9</t>
  </si>
  <si>
    <t>$250.0 - $499.9</t>
  </si>
  <si>
    <t>$500+</t>
  </si>
  <si>
    <t>1 - 24</t>
  </si>
  <si>
    <t>25 - 49</t>
  </si>
  <si>
    <t>50 - 74</t>
  </si>
  <si>
    <t>75 - 99</t>
  </si>
  <si>
    <t>100 - 199</t>
  </si>
  <si>
    <t>200 - 399</t>
  </si>
  <si>
    <t>400 - 399</t>
  </si>
  <si>
    <t>1000+</t>
  </si>
  <si>
    <t>Unknown</t>
  </si>
  <si>
    <t>Investment Bank Intern/Summer Analyst</t>
  </si>
  <si>
    <t>Investment Bank 1st Year Analyst</t>
  </si>
  <si>
    <t>Investment Bank Intern/Summer Associate</t>
  </si>
  <si>
    <t>Investment Bank 2nd+ Year Analyst</t>
  </si>
  <si>
    <t>Consulting Intern</t>
  </si>
  <si>
    <t>Consulting 1st Year Analyst/Summer Associate</t>
  </si>
  <si>
    <t>Consulting 2nd-3rd Year Analyst/Associate</t>
  </si>
  <si>
    <t>Consulting Consultant/Engineer</t>
  </si>
  <si>
    <t>Consulting Senior Consultant</t>
  </si>
  <si>
    <t>Consulting Manager</t>
  </si>
  <si>
    <t>Consulting Principal</t>
  </si>
  <si>
    <t>Consulting VP</t>
  </si>
  <si>
    <t>Consulting Managing Director</t>
  </si>
  <si>
    <t>Hedge Fund Intern/Summer Analyst</t>
  </si>
  <si>
    <t>Hedge Fund Analyst</t>
  </si>
  <si>
    <t>Hedge Fund 1st Year Associate</t>
  </si>
  <si>
    <t>Hedge Fund 2nd+ Year Associate</t>
  </si>
  <si>
    <t>Hedge Fund Managing Director</t>
  </si>
  <si>
    <t>Hedge Fund VP</t>
  </si>
  <si>
    <t>Private Equity Intern/Summer Analyst</t>
  </si>
  <si>
    <t>Private Equity Intern/Summer Associate</t>
  </si>
  <si>
    <t>Private Equity 1st Year Analyst</t>
  </si>
  <si>
    <t>Private Equity 2nd+ Year Analyst</t>
  </si>
  <si>
    <t>Private Equity 1st Year Associate</t>
  </si>
  <si>
    <t>Private Equity 2nd+ Year Associate</t>
  </si>
  <si>
    <t>Private Equity VP</t>
  </si>
  <si>
    <t>Private Equity Managing Director</t>
  </si>
  <si>
    <t>Multiplier Tables for Management Calculation</t>
  </si>
  <si>
    <t>Management Median Salaries</t>
  </si>
  <si>
    <t>Operations Manager</t>
  </si>
  <si>
    <t>Marketing Manager</t>
  </si>
  <si>
    <t>Sales Manager</t>
  </si>
  <si>
    <t>Information Systems Manager</t>
  </si>
  <si>
    <t>HR Manager</t>
  </si>
  <si>
    <t>Construction Manager</t>
  </si>
  <si>
    <t>Medical/Health Services Manager</t>
  </si>
  <si>
    <t>Natural Sciences Manager</t>
  </si>
  <si>
    <t>For Main Management Positions</t>
  </si>
  <si>
    <t>For Spouse Management Positions</t>
  </si>
  <si>
    <t>----- Faculty -----</t>
  </si>
  <si>
    <t>Public Professor</t>
  </si>
  <si>
    <t>Public Associate Professor</t>
  </si>
  <si>
    <t>Public Assistant Professor</t>
  </si>
  <si>
    <t>Public Instructor</t>
  </si>
  <si>
    <t>Public Lecturer</t>
  </si>
  <si>
    <t>Private Professor</t>
  </si>
  <si>
    <t>Private Associate Professor</t>
  </si>
  <si>
    <t>Private Assistant Professor</t>
  </si>
  <si>
    <t>Private Instructor</t>
  </si>
  <si>
    <t>Private Lecturer</t>
  </si>
  <si>
    <t>Religious Professor</t>
  </si>
  <si>
    <t>Religious Associate Professor</t>
  </si>
  <si>
    <t>Religious Assistant Professor</t>
  </si>
  <si>
    <t>Religious Instructor</t>
  </si>
  <si>
    <t>Religious Lecturer</t>
  </si>
  <si>
    <t>https://www.aaup.org/report/annual-report-economic-status-profession-2017-18</t>
  </si>
  <si>
    <t>President (PhD)</t>
  </si>
  <si>
    <t>President (MS)</t>
  </si>
  <si>
    <t>President (BA)</t>
  </si>
  <si>
    <t>President (AA)</t>
  </si>
  <si>
    <t>Chief Academic Officer (PhD)</t>
  </si>
  <si>
    <t>Chief Academic Officer (MS)</t>
  </si>
  <si>
    <t>Chief Academic Officer (BA)</t>
  </si>
  <si>
    <t>Chief Academic Officer (AA)</t>
  </si>
  <si>
    <t>Chief Financial Officer (PhD)</t>
  </si>
  <si>
    <t>Chief Financial Officer (MS)</t>
  </si>
  <si>
    <t>Chief Financial Officer (BA)</t>
  </si>
  <si>
    <t>Chief Financial Officer (AA)</t>
  </si>
  <si>
    <t>https://www.roberthalf.com/sites/roberthalf.ca/files/documents/2018_salary_guide_CA_legal.pdf</t>
  </si>
  <si>
    <t>----- Legal -----</t>
  </si>
  <si>
    <t>Lawyer (10+ yr experience)</t>
  </si>
  <si>
    <t>Lawyer (4-9 yr experience)</t>
  </si>
  <si>
    <t>Lawyer (2-3 yr experience)</t>
  </si>
  <si>
    <t>Lawyer (1st year)</t>
  </si>
  <si>
    <t>General Counsel</t>
  </si>
  <si>
    <t>In-House Counsel (10+ yr experience)</t>
  </si>
  <si>
    <t>In-House Counsel (4-9 yr experience)</t>
  </si>
  <si>
    <t>In-House Counsel (0-3 yr experience)</t>
  </si>
  <si>
    <t>Office Manager</t>
  </si>
  <si>
    <t>Paralegal Manager</t>
  </si>
  <si>
    <t>Senior Paralegal (7+ yr experience)</t>
  </si>
  <si>
    <t>Midlevel Paralegal (4-6 yr experience)</t>
  </si>
  <si>
    <t>Paralegal (2-3 yr experience)</t>
  </si>
  <si>
    <t>Case Clerk (0-2 yr experience)</t>
  </si>
  <si>
    <t>Senior Legal Secretary</t>
  </si>
  <si>
    <t>Legal Secretary</t>
  </si>
  <si>
    <t>Administrative Assistant</t>
  </si>
  <si>
    <t>Compliance Director</t>
  </si>
  <si>
    <t>Contract Manager</t>
  </si>
  <si>
    <t>Location Variances:</t>
  </si>
  <si>
    <t>None</t>
  </si>
  <si>
    <t>Birmingham, AL</t>
  </si>
  <si>
    <t>Hunstville, AL</t>
  </si>
  <si>
    <t>Mobile, AL</t>
  </si>
  <si>
    <t>Phoenix, AZ</t>
  </si>
  <si>
    <t>Tucson, AZ</t>
  </si>
  <si>
    <t>Fayetteville, AR</t>
  </si>
  <si>
    <t>Little Rock, AR</t>
  </si>
  <si>
    <t>Fresno, CA</t>
  </si>
  <si>
    <t>Irvine,CA</t>
  </si>
  <si>
    <t>Los Angeles, CA</t>
  </si>
  <si>
    <t>Oakland, CA</t>
  </si>
  <si>
    <t>Ontario, CA</t>
  </si>
  <si>
    <t>Sacramento, CA</t>
  </si>
  <si>
    <t>San Francisco, CA</t>
  </si>
  <si>
    <t>San Jose, CA</t>
  </si>
  <si>
    <t>San Rafael, CA</t>
  </si>
  <si>
    <t>Santa Barbara, CA</t>
  </si>
  <si>
    <t>Santa Rosa, CA</t>
  </si>
  <si>
    <t>Stockton, CA</t>
  </si>
  <si>
    <t>Boulder, CO</t>
  </si>
  <si>
    <t>Colorado Springs, CO</t>
  </si>
  <si>
    <t>Ft Collins, CO</t>
  </si>
  <si>
    <t>Greeley, CO</t>
  </si>
  <si>
    <t>Loveland, CO</t>
  </si>
  <si>
    <t>Pueblo, CO</t>
  </si>
  <si>
    <t>Hartford, CT</t>
  </si>
  <si>
    <t>New Haven, CT</t>
  </si>
  <si>
    <t>Stamford, CT</t>
  </si>
  <si>
    <t>Wilmington, DE</t>
  </si>
  <si>
    <t>Washington, DC</t>
  </si>
  <si>
    <t>Ft Myers, FL</t>
  </si>
  <si>
    <t>Jacksonville, FL</t>
  </si>
  <si>
    <t>Melbourne, FL</t>
  </si>
  <si>
    <t>Miami/Ft Lauderdale, FL</t>
  </si>
  <si>
    <t>Orlando, FL</t>
  </si>
  <si>
    <t>St. Petersburg, FL</t>
  </si>
  <si>
    <t>Tampa, FL</t>
  </si>
  <si>
    <t>West Palm Beach, FL</t>
  </si>
  <si>
    <t>Atlanta, GA</t>
  </si>
  <si>
    <t>Macon, GA</t>
  </si>
  <si>
    <t>Savannah, GA</t>
  </si>
  <si>
    <t>Honolulu, HI</t>
  </si>
  <si>
    <t>Boise, ID</t>
  </si>
  <si>
    <t>Chicago, IL</t>
  </si>
  <si>
    <t>Naperville, IL</t>
  </si>
  <si>
    <t>Rockford, IL</t>
  </si>
  <si>
    <t>Ft Wayne, IN</t>
  </si>
  <si>
    <t>Indianapolis, IN</t>
  </si>
  <si>
    <t>Cedar Rapids, IA</t>
  </si>
  <si>
    <t>Davenport, IA</t>
  </si>
  <si>
    <t>Des Moines, IA</t>
  </si>
  <si>
    <t>Sioux City, IA</t>
  </si>
  <si>
    <t>Waterloo/Cedar Falls, IA</t>
  </si>
  <si>
    <t>Overland Park, KS</t>
  </si>
  <si>
    <t>Lexington, KY</t>
  </si>
  <si>
    <t>Louisville, KY</t>
  </si>
  <si>
    <t>Baton Rouge, LA</t>
  </si>
  <si>
    <t>New Orleans, LA</t>
  </si>
  <si>
    <t>Portland, ME</t>
  </si>
  <si>
    <t>Baltimore, MD</t>
  </si>
  <si>
    <t>Boston, MA</t>
  </si>
  <si>
    <t>Springfield, MA</t>
  </si>
  <si>
    <t>Ann Arbor, MI</t>
  </si>
  <si>
    <t>Detroit, MI</t>
  </si>
  <si>
    <t>Grand Rapids, MI</t>
  </si>
  <si>
    <t>Kalamazoo, MI</t>
  </si>
  <si>
    <t>Lansing, MI</t>
  </si>
  <si>
    <t>Bloomington, MN</t>
  </si>
  <si>
    <t>Duluth, MN</t>
  </si>
  <si>
    <t>Minneapolis, MN</t>
  </si>
  <si>
    <t>Rochester, MN</t>
  </si>
  <si>
    <t>St Cloud, MN</t>
  </si>
  <si>
    <t>St Paul, MN</t>
  </si>
  <si>
    <t>Kansas City, MO</t>
  </si>
  <si>
    <t>St Joseph, MO</t>
  </si>
  <si>
    <t>St Louis, MO</t>
  </si>
  <si>
    <t>Omaha, NE</t>
  </si>
  <si>
    <t>Las Vegas, NV</t>
  </si>
  <si>
    <t>Reno, NV</t>
  </si>
  <si>
    <t>Manchester/Nashua, NH</t>
  </si>
  <si>
    <t>Mout Laurel, NJ</t>
  </si>
  <si>
    <t>Paramus, NJ</t>
  </si>
  <si>
    <t>Princeton, NJ</t>
  </si>
  <si>
    <t>Woodbridge, NJ</t>
  </si>
  <si>
    <t>Albuquerque, NM</t>
  </si>
  <si>
    <t>Albany, NY</t>
  </si>
  <si>
    <t>Buffalo, NY</t>
  </si>
  <si>
    <t>Long Island, NY</t>
  </si>
  <si>
    <t>New York, NY</t>
  </si>
  <si>
    <t>Rochester, NY</t>
  </si>
  <si>
    <t>Syracuse, NY</t>
  </si>
  <si>
    <t>Charlotte, NC</t>
  </si>
  <si>
    <t>Greensboro, NC</t>
  </si>
  <si>
    <t>Raleigh, NC</t>
  </si>
  <si>
    <t>Akron, OH</t>
  </si>
  <si>
    <t>Canton, OH</t>
  </si>
  <si>
    <t>Cincinatti, OH</t>
  </si>
  <si>
    <t>Cleveland, OH</t>
  </si>
  <si>
    <t>Columbus, OH</t>
  </si>
  <si>
    <t>Dayton, OH</t>
  </si>
  <si>
    <t>Toledo, OH</t>
  </si>
  <si>
    <t>Youngstown, OH</t>
  </si>
  <si>
    <t>Oklahoma City, OK</t>
  </si>
  <si>
    <t>Tulsa, OK</t>
  </si>
  <si>
    <t>Portland, OR</t>
  </si>
  <si>
    <t>Harrisburg, PA</t>
  </si>
  <si>
    <t>Philadelphia, PA</t>
  </si>
  <si>
    <t>Pittsburgh, PA</t>
  </si>
  <si>
    <t>Providence, RI</t>
  </si>
  <si>
    <t>Charleston, SC</t>
  </si>
  <si>
    <t>Columbia, SC</t>
  </si>
  <si>
    <t>Greenville, SC</t>
  </si>
  <si>
    <t>Sioux Falls, SD</t>
  </si>
  <si>
    <t>Chattanooga, TN</t>
  </si>
  <si>
    <t>Cool Springs, TN</t>
  </si>
  <si>
    <t>Knoxville, TN</t>
  </si>
  <si>
    <t>Memphis, TN</t>
  </si>
  <si>
    <t>Nashville, TN</t>
  </si>
  <si>
    <t>Austin, TX</t>
  </si>
  <si>
    <t>Dallas, TX</t>
  </si>
  <si>
    <t>El Paso, TX</t>
  </si>
  <si>
    <t>Ft Worth, TX</t>
  </si>
  <si>
    <t>Houston, TX</t>
  </si>
  <si>
    <t>Midland/Odessa, TX</t>
  </si>
  <si>
    <t>San Antonio, TX</t>
  </si>
  <si>
    <t>Salt Lake City, UT</t>
  </si>
  <si>
    <t>Norfolk/Hampton Roads, VA</t>
  </si>
  <si>
    <t>Richmond, VA</t>
  </si>
  <si>
    <t>Tysons Corner, VA</t>
  </si>
  <si>
    <t>Seattle, WA</t>
  </si>
  <si>
    <t>Spokane, WA</t>
  </si>
  <si>
    <t>Appleton, WI</t>
  </si>
  <si>
    <t>Green Bay, WI</t>
  </si>
  <si>
    <t>Madison, WI</t>
  </si>
  <si>
    <t>Milwaukee, WI</t>
  </si>
  <si>
    <t>Waukesha, WI</t>
  </si>
  <si>
    <t>Primary residence</t>
  </si>
  <si>
    <t>Liquid assets</t>
  </si>
  <si>
    <t>Pension Accounts</t>
  </si>
  <si>
    <t>Corporate Stocks</t>
  </si>
  <si>
    <t>Business equity</t>
  </si>
  <si>
    <t>Misc Assets</t>
  </si>
  <si>
    <t>Percentile</t>
  </si>
  <si>
    <t>a0</t>
  </si>
  <si>
    <t>a1</t>
  </si>
  <si>
    <t>a2</t>
  </si>
  <si>
    <t>a3</t>
  </si>
  <si>
    <t>Business equity/Other real estate</t>
  </si>
  <si>
    <t>&lt;35</t>
  </si>
  <si>
    <t>35-44</t>
  </si>
  <si>
    <t>45-54</t>
  </si>
  <si>
    <t>55-64</t>
  </si>
  <si>
    <t>65-74</t>
  </si>
  <si>
    <t>&gt;75</t>
  </si>
  <si>
    <t>Percentage</t>
  </si>
  <si>
    <t>Income Range Low</t>
  </si>
  <si>
    <t>Income Range High</t>
  </si>
  <si>
    <t>Number (thousands)</t>
  </si>
  <si>
    <t>Meansize of household</t>
  </si>
  <si>
    <t>Mean number of earners</t>
  </si>
  <si>
    <t>Mean Income</t>
  </si>
  <si>
    <t>Income Midpoint</t>
  </si>
  <si>
    <t>a4</t>
  </si>
  <si>
    <t>Income to Percentile Model</t>
  </si>
  <si>
    <t>Main Sales Multiplier:</t>
  </si>
  <si>
    <t>Main Employee Multiplier:</t>
  </si>
  <si>
    <t>Spouse Sales Multiplier:</t>
  </si>
  <si>
    <t>Spouse Employee Multiplier:</t>
  </si>
  <si>
    <t>Main Income:</t>
  </si>
  <si>
    <t>Spouse Income:</t>
  </si>
  <si>
    <t>Household Income:</t>
  </si>
  <si>
    <t>Modeled Percentile:</t>
  </si>
  <si>
    <t>Asset Weights:</t>
  </si>
  <si>
    <t>Asset Totals:</t>
  </si>
  <si>
    <t>Primary Residence:</t>
  </si>
  <si>
    <t>Liquid Assets:</t>
  </si>
  <si>
    <t>Corporate Stocks:</t>
  </si>
  <si>
    <t>Misc Assets:</t>
  </si>
  <si>
    <t>Business Value Estimate:</t>
  </si>
  <si>
    <t>Estimated Equity</t>
  </si>
  <si>
    <t>Nursing Professor</t>
  </si>
  <si>
    <t>Known Net Worth</t>
  </si>
  <si>
    <t>Known Net Wealth</t>
  </si>
  <si>
    <t>Sales (in $m)</t>
  </si>
  <si>
    <t>Age (Spouse)</t>
  </si>
  <si>
    <r>
      <t xml:space="preserve">Securities </t>
    </r>
    <r>
      <rPr>
        <b/>
        <sz val="8"/>
        <color theme="1"/>
        <rFont val="Calibri"/>
        <family val="2"/>
        <scheme val="minor"/>
      </rPr>
      <t>(Enter manual caclulation here)</t>
    </r>
    <r>
      <rPr>
        <b/>
        <sz val="11"/>
        <color theme="1"/>
        <rFont val="Calibri"/>
        <family val="2"/>
        <scheme val="minor"/>
      </rPr>
      <t>:</t>
    </r>
  </si>
  <si>
    <t>Other Asset Type:</t>
  </si>
  <si>
    <t>Value:</t>
  </si>
  <si>
    <t>Business Equity/Other Real Estate:</t>
  </si>
  <si>
    <t>Net Worth Estimate:</t>
  </si>
  <si>
    <t>Main Location Variance:</t>
  </si>
  <si>
    <t>Spouse Location Variance:</t>
  </si>
  <si>
    <t>Short Form</t>
  </si>
  <si>
    <t>Long Form</t>
  </si>
  <si>
    <t>Age Multipliers:</t>
  </si>
  <si>
    <t>Gift Capacity Estimate:</t>
  </si>
  <si>
    <t>Gift Capacity Multiplier</t>
  </si>
  <si>
    <t>input</t>
  </si>
  <si>
    <t>Adjusted Percentile 1:</t>
  </si>
  <si>
    <t>Adjusted Percentile 2:</t>
  </si>
  <si>
    <t>Total Buisiness Value</t>
  </si>
  <si>
    <t>Wealth Estimates:</t>
  </si>
  <si>
    <t>Main Position</t>
  </si>
  <si>
    <t>Spouse Position</t>
  </si>
  <si>
    <t>Primary Residence</t>
  </si>
  <si>
    <t>Other Real Estate</t>
  </si>
  <si>
    <t>Total Business Value</t>
  </si>
  <si>
    <t>Total Visible Wealth</t>
  </si>
  <si>
    <t>Main Age</t>
  </si>
  <si>
    <t>Spouse Age</t>
  </si>
  <si>
    <t>Main Location Variance</t>
  </si>
  <si>
    <t>Spouse Location Variance</t>
  </si>
  <si>
    <t>Main Company Sales Range</t>
  </si>
  <si>
    <t>Main Company Employees Range</t>
  </si>
  <si>
    <t>Spouse Company Sales Range</t>
  </si>
  <si>
    <t>Spouse Company Employees Range</t>
  </si>
  <si>
    <t>Primary Residence Wealth Est</t>
  </si>
  <si>
    <t>Liquid Assets Wealth Est</t>
  </si>
  <si>
    <t>Corporate Stocks Wealth Est</t>
  </si>
  <si>
    <t>Equity/Other Real Estate Wealth Est</t>
  </si>
  <si>
    <t>Misc Assets Wealth Est</t>
  </si>
  <si>
    <t>Known Net Worth Wealth Est</t>
  </si>
  <si>
    <t>Number of Gifts to Institution</t>
  </si>
  <si>
    <t>Largest Gift to Institution</t>
  </si>
  <si>
    <t>Time Created</t>
  </si>
  <si>
    <t>https://www.medscape.com/slideshow/2018-compensation-overview-6009667#4</t>
  </si>
  <si>
    <t>https://www.ada.org/en/science-research/health-policy-institute/dental-statistics/income-billing-and-other-dentistry-statistics</t>
  </si>
  <si>
    <t>https://www.medscape.com/slideshow/2018-rn-lpn-compensation-report-6010589</t>
  </si>
  <si>
    <t>Physician Speciality Salaries (Medscape, 2018)</t>
  </si>
  <si>
    <t>Nursing Salaries (Medscape, 2018)</t>
  </si>
  <si>
    <t>Dentist/Dentist Specialty Salaries (American Dental Association, 2017)</t>
  </si>
  <si>
    <t>General Finance Salaries (Robert Half, 2019)</t>
  </si>
  <si>
    <t>https://www.roberthalf.com/salary-guide/accounting-and-finance</t>
  </si>
  <si>
    <t>https://www.wallstreetoasis.com/salary-bonus-by-industry</t>
  </si>
  <si>
    <t>Asset Management Salaries (Wall Street Oasis, 2018)</t>
  </si>
  <si>
    <t>Base Management Salaries (Bureau of Labor Statistics, 2018)</t>
  </si>
  <si>
    <t>https://www.bls.gov/oes/current/oes_stru.htm</t>
  </si>
  <si>
    <t>https://meainfo.org/pdf/survey-reports/2018-National/Sample_2018_EAA_National_Executive_Compensation_Survey.pdf</t>
  </si>
  <si>
    <t>Management Multipliers by Sales/Employees (Employer Associations of America, 2018)</t>
  </si>
  <si>
    <t>Faculty Salaries (American Association of University Professors, 2017)</t>
  </si>
  <si>
    <t>Legal Salaries (Robert Half, 2018)</t>
  </si>
  <si>
    <t>Location Variance (Robert Half/Bureau of Labor Statistics, 2018)</t>
  </si>
  <si>
    <t>Asset Distribution (Edward Wolff, 2017)</t>
  </si>
  <si>
    <t>Age Multipliers (Edward Wolff, 2017)</t>
  </si>
  <si>
    <t>https://www.nber.org/papers/w24085</t>
  </si>
  <si>
    <t>Income Distribution (Census Bureau, 2014)</t>
  </si>
  <si>
    <t>https://en.wikipedia.org/wiki/Household_income_in_the_United_States</t>
  </si>
  <si>
    <t>Data Sources:</t>
  </si>
  <si>
    <t xml:space="preserve">Gift Capacity Calculator </t>
  </si>
  <si>
    <t>Version 2.0</t>
  </si>
  <si>
    <t>Created by Jacob Hess, 2019</t>
  </si>
  <si>
    <t>Description:</t>
  </si>
  <si>
    <t>Gift Capacity Estimates:</t>
  </si>
  <si>
    <t>5% of Visible Assets or Largest Gift</t>
  </si>
  <si>
    <r>
      <t xml:space="preserve">This gift capacity calculator estimates 5-year gift capacity based on an estimated net wealth statistic. The estimation begins with a modelling of the household's wealth ranking based on income information supplied by the user. If the user chooses, the income can be adjusted to incorporate a location variance that deflates or inflates income based on an identified city. For business owners and managers, incomes are based on the size of the company and the variations in pay according to the National Executive Survey (only CEO data is available so that is used to estimate the variation). The modelled percentile is then used to calculate the expected distribution among six categories identified by Edward Wolff's paper on household wealth trends: primary residence, liquid assets, pension accounts, corporate stocks, business equity and other real estate, and misc assets. The asset distribution is then adjusted to incorporate age effects which are also demonstrated by Edward Wolff in his research. Estimated gift capacity is reduced down to 1% of estimated total net worth. In a simplified manner, gift capacity can also be estimated at 5% of visible wealth which should always be lower than net worth. The end user can decide which rating is more relevant based on the information provided. The "Clear Fields" button will clear all editable fields and save the data in the "Data" tab if needed for retrieval. 
</t>
    </r>
    <r>
      <rPr>
        <b/>
        <sz val="11"/>
        <color theme="1"/>
        <rFont val="Calibri"/>
        <family val="2"/>
        <scheme val="minor"/>
      </rPr>
      <t>Gift capacity</t>
    </r>
    <r>
      <rPr>
        <sz val="11"/>
        <color theme="1"/>
        <rFont val="Calibri"/>
        <family val="2"/>
        <scheme val="minor"/>
      </rPr>
      <t xml:space="preserve"> is defined as an </t>
    </r>
    <r>
      <rPr>
        <i/>
        <sz val="11"/>
        <color theme="1"/>
        <rFont val="Calibri"/>
        <family val="2"/>
        <scheme val="minor"/>
      </rPr>
      <t>individual's capacity to give over 5-years</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</si>
</sst>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7" formatCode="&quot;$&quot;#,##0.00_);\(&quot;$&quot;#,##0.00\)"/>
    <numFmt numFmtId="44" formatCode="_(&quot;$&quot;* #,##0.00_);_(&quot;$&quot;* \(#,##0.00\);_(&quot;$&quot;* &quot;-&quot;??_);_(@_)"/>
    <numFmt numFmtId="43" formatCode="_(* #,##0.00_);_(* \(#,##0.00\);_(* &quot;-&quot;??_);_(@_)"/>
    <numFmt numFmtId="164" formatCode="0.00000000000"/>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b/>
      <sz val="8"/>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i/>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2" tint="-0.249977111117893"/>
        <bgColor indexed="64"/>
      </patternFill>
    </fill>
    <fill>
      <patternFill patternType="solid">
        <fgColor theme="7" tint="0.79998168889431442"/>
        <bgColor indexed="64"/>
      </patternFill>
    </fill>
  </fills>
  <borders count="3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theme="2" tint="-0.499984740745262"/>
      </right>
      <top/>
      <bottom/>
      <diagonal/>
    </border>
    <border>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5">
    <xf numFmtId="0" fontId="0" fillId="0" borderId="0"/>
    <xf numFmtId="44" fontId="1" fillId="0" borderId="0" applyFont="0" applyFill="0" applyBorder="0" applyAlignment="0" applyProtection="0"/>
    <xf numFmtId="43" fontId="1" fillId="0" borderId="0" applyFont="0" applyFill="0" applyBorder="0" applyAlignment="0" applyProtection="0"/>
    <xf numFmtId="0" fontId="4"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7" fillId="0" borderId="18"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19" applyNumberFormat="0" applyAlignment="0" applyProtection="0"/>
    <xf numFmtId="0" fontId="12" fillId="6" borderId="20" applyNumberFormat="0" applyAlignment="0" applyProtection="0"/>
    <xf numFmtId="0" fontId="13" fillId="6" borderId="19" applyNumberFormat="0" applyAlignment="0" applyProtection="0"/>
    <xf numFmtId="0" fontId="14" fillId="0" borderId="21" applyNumberFormat="0" applyFill="0" applyAlignment="0" applyProtection="0"/>
    <xf numFmtId="0" fontId="15" fillId="7" borderId="22" applyNumberFormat="0" applyAlignment="0" applyProtection="0"/>
    <xf numFmtId="0" fontId="16" fillId="0" borderId="0" applyNumberFormat="0" applyFill="0" applyBorder="0" applyAlignment="0" applyProtection="0"/>
    <xf numFmtId="0" fontId="1" fillId="8" borderId="23" applyNumberFormat="0" applyFont="0" applyAlignment="0" applyProtection="0"/>
    <xf numFmtId="0" fontId="17" fillId="0" borderId="0" applyNumberFormat="0" applyFill="0" applyBorder="0" applyAlignment="0" applyProtection="0"/>
    <xf numFmtId="0" fontId="2" fillId="0" borderId="24"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120">
    <xf numFmtId="0" fontId="0" fillId="0" borderId="0" xfId="0"/>
    <xf numFmtId="0" fontId="0" fillId="0" borderId="1" xfId="0" applyBorder="1"/>
    <xf numFmtId="0" fontId="0" fillId="0" borderId="3" xfId="0" applyBorder="1"/>
    <xf numFmtId="0" fontId="0" fillId="0" borderId="2" xfId="0" applyBorder="1"/>
    <xf numFmtId="44" fontId="0" fillId="0" borderId="0" xfId="0" applyNumberFormat="1"/>
    <xf numFmtId="0" fontId="2" fillId="0" borderId="0" xfId="0" applyFont="1"/>
    <xf numFmtId="44" fontId="2" fillId="0" borderId="0" xfId="1" applyFont="1"/>
    <xf numFmtId="0" fontId="0" fillId="0" borderId="4" xfId="0" applyBorder="1"/>
    <xf numFmtId="1" fontId="0" fillId="0" borderId="0" xfId="0" applyNumberFormat="1"/>
    <xf numFmtId="0" fontId="0" fillId="0" borderId="0" xfId="0" applyBorder="1"/>
    <xf numFmtId="0" fontId="0" fillId="0" borderId="0" xfId="0" applyBorder="1" applyAlignment="1"/>
    <xf numFmtId="49" fontId="2" fillId="0" borderId="0" xfId="0" applyNumberFormat="1" applyFont="1" applyAlignment="1">
      <alignment horizontal="center"/>
    </xf>
    <xf numFmtId="0" fontId="0" fillId="0" borderId="0" xfId="0" applyNumberFormat="1"/>
    <xf numFmtId="7" fontId="0" fillId="0" borderId="0" xfId="0" applyNumberFormat="1"/>
    <xf numFmtId="14" fontId="0" fillId="0" borderId="0" xfId="0" applyNumberFormat="1"/>
    <xf numFmtId="14" fontId="0" fillId="0" borderId="1" xfId="0" applyNumberFormat="1" applyBorder="1"/>
    <xf numFmtId="44" fontId="0" fillId="0" borderId="0" xfId="1" applyFont="1"/>
    <xf numFmtId="0" fontId="0" fillId="0" borderId="14" xfId="0" applyBorder="1"/>
    <xf numFmtId="0" fontId="0" fillId="0" borderId="0" xfId="0" applyFill="1" applyBorder="1" applyAlignment="1">
      <alignment horizontal="center"/>
    </xf>
    <xf numFmtId="0" fontId="3" fillId="0" borderId="0" xfId="0" applyFont="1"/>
    <xf numFmtId="0" fontId="0" fillId="0" borderId="15" xfId="0" applyBorder="1"/>
    <xf numFmtId="0" fontId="0" fillId="0" borderId="13" xfId="0" applyBorder="1"/>
    <xf numFmtId="0" fontId="0" fillId="0" borderId="27" xfId="0" applyBorder="1"/>
    <xf numFmtId="0" fontId="0" fillId="0" borderId="29" xfId="0" applyBorder="1"/>
    <xf numFmtId="6" fontId="0" fillId="0" borderId="0" xfId="0" applyNumberFormat="1"/>
    <xf numFmtId="0" fontId="0" fillId="0" borderId="0" xfId="0" applyAlignment="1"/>
    <xf numFmtId="49" fontId="0" fillId="0" borderId="0" xfId="0" applyNumberFormat="1" applyBorder="1"/>
    <xf numFmtId="0" fontId="0" fillId="0" borderId="0" xfId="0" applyFill="1" applyBorder="1"/>
    <xf numFmtId="0" fontId="0" fillId="0" borderId="30" xfId="0" applyBorder="1"/>
    <xf numFmtId="0" fontId="0" fillId="0" borderId="32" xfId="0" applyBorder="1"/>
    <xf numFmtId="10" fontId="0" fillId="0" borderId="0" xfId="0" applyNumberFormat="1"/>
    <xf numFmtId="0" fontId="0" fillId="0" borderId="28" xfId="0" applyBorder="1"/>
    <xf numFmtId="44" fontId="0" fillId="0" borderId="29" xfId="1" applyFont="1" applyBorder="1"/>
    <xf numFmtId="44" fontId="0" fillId="0" borderId="27" xfId="1" applyFont="1" applyBorder="1"/>
    <xf numFmtId="44" fontId="0" fillId="0" borderId="28" xfId="1" applyFont="1" applyBorder="1"/>
    <xf numFmtId="0" fontId="0" fillId="0" borderId="2" xfId="0" applyFill="1" applyBorder="1"/>
    <xf numFmtId="44" fontId="0" fillId="0" borderId="0" xfId="1" applyFont="1" applyBorder="1" applyAlignment="1"/>
    <xf numFmtId="44" fontId="0" fillId="0" borderId="1" xfId="1" applyFont="1" applyBorder="1" applyAlignment="1"/>
    <xf numFmtId="0" fontId="0" fillId="0" borderId="4" xfId="0" applyFill="1" applyBorder="1" applyAlignment="1">
      <alignment horizontal="center"/>
    </xf>
    <xf numFmtId="0" fontId="0" fillId="0" borderId="2" xfId="0" applyFill="1" applyBorder="1" applyAlignment="1">
      <alignment horizontal="center"/>
    </xf>
    <xf numFmtId="0" fontId="0" fillId="0" borderId="29" xfId="0" applyFill="1" applyBorder="1"/>
    <xf numFmtId="164" fontId="0" fillId="0" borderId="28" xfId="0" applyNumberFormat="1" applyBorder="1"/>
    <xf numFmtId="164" fontId="0" fillId="0" borderId="29" xfId="0" applyNumberFormat="1" applyBorder="1"/>
    <xf numFmtId="164" fontId="0" fillId="0" borderId="27" xfId="0" applyNumberFormat="1" applyBorder="1"/>
    <xf numFmtId="0" fontId="0" fillId="33" borderId="2" xfId="0" applyFill="1" applyBorder="1"/>
    <xf numFmtId="0" fontId="0" fillId="33" borderId="3" xfId="0" applyFill="1" applyBorder="1"/>
    <xf numFmtId="6" fontId="0" fillId="34" borderId="30" xfId="0" applyNumberFormat="1" applyFill="1" applyBorder="1" applyAlignment="1"/>
    <xf numFmtId="6" fontId="0" fillId="34" borderId="25" xfId="0" applyNumberFormat="1" applyFill="1" applyBorder="1" applyAlignment="1"/>
    <xf numFmtId="0" fontId="0" fillId="33" borderId="4" xfId="0" applyFill="1" applyBorder="1"/>
    <xf numFmtId="0" fontId="0" fillId="33" borderId="29" xfId="0" applyFill="1" applyBorder="1"/>
    <xf numFmtId="0" fontId="0" fillId="33" borderId="4" xfId="0" applyFill="1" applyBorder="1" applyAlignment="1">
      <alignment horizontal="center"/>
    </xf>
    <xf numFmtId="0" fontId="0" fillId="33" borderId="2" xfId="0" applyFill="1" applyBorder="1" applyAlignment="1">
      <alignment horizontal="center"/>
    </xf>
    <xf numFmtId="0" fontId="0" fillId="33" borderId="3" xfId="0" applyFill="1" applyBorder="1" applyAlignment="1">
      <alignment horizontal="center"/>
    </xf>
    <xf numFmtId="0" fontId="0" fillId="33" borderId="2" xfId="0" applyFont="1" applyFill="1" applyBorder="1" applyAlignment="1">
      <alignment horizontal="center"/>
    </xf>
    <xf numFmtId="44" fontId="0" fillId="33" borderId="2" xfId="1" applyFont="1" applyFill="1" applyBorder="1"/>
    <xf numFmtId="43" fontId="0" fillId="33" borderId="3" xfId="2" applyFont="1" applyFill="1" applyBorder="1"/>
    <xf numFmtId="0" fontId="0" fillId="0" borderId="2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0" borderId="28" xfId="0" applyBorder="1" applyAlignment="1">
      <alignment horizontal="left" vertical="center"/>
    </xf>
    <xf numFmtId="0" fontId="0" fillId="0" borderId="27" xfId="0" applyBorder="1" applyAlignment="1">
      <alignment horizontal="left" vertical="center"/>
    </xf>
    <xf numFmtId="0" fontId="0" fillId="0" borderId="1" xfId="0" applyFill="1" applyBorder="1"/>
    <xf numFmtId="0" fontId="0" fillId="0" borderId="0" xfId="0" applyFont="1" applyAlignment="1">
      <alignment wrapText="1"/>
    </xf>
    <xf numFmtId="0" fontId="19" fillId="0" borderId="14" xfId="44" applyBorder="1"/>
    <xf numFmtId="0" fontId="19" fillId="0" borderId="15" xfId="44" applyBorder="1"/>
    <xf numFmtId="0" fontId="0" fillId="33" borderId="25" xfId="0" applyFill="1" applyBorder="1"/>
    <xf numFmtId="44" fontId="0" fillId="33" borderId="25" xfId="1" applyFont="1" applyFill="1" applyBorder="1" applyAlignment="1"/>
    <xf numFmtId="44" fontId="0" fillId="35" borderId="28" xfId="0" applyNumberFormat="1" applyFill="1" applyBorder="1"/>
    <xf numFmtId="44" fontId="0" fillId="35" borderId="29" xfId="0" applyNumberFormat="1" applyFill="1" applyBorder="1"/>
    <xf numFmtId="44" fontId="0" fillId="35" borderId="27" xfId="0" applyNumberFormat="1" applyFill="1" applyBorder="1"/>
    <xf numFmtId="44" fontId="0" fillId="35" borderId="25" xfId="1" applyFont="1" applyFill="1" applyBorder="1" applyAlignment="1"/>
    <xf numFmtId="44" fontId="0" fillId="0" borderId="10" xfId="1" applyFont="1" applyBorder="1" applyAlignment="1">
      <alignment horizontal="center"/>
    </xf>
    <xf numFmtId="44" fontId="0" fillId="0" borderId="7" xfId="1" applyFont="1" applyBorder="1" applyAlignment="1">
      <alignment horizontal="center"/>
    </xf>
    <xf numFmtId="44" fontId="0" fillId="0" borderId="2" xfId="1" applyFont="1" applyBorder="1" applyAlignment="1">
      <alignment horizontal="center"/>
    </xf>
    <xf numFmtId="44" fontId="0" fillId="0" borderId="14" xfId="1" applyFont="1" applyBorder="1" applyAlignment="1">
      <alignment horizontal="center"/>
    </xf>
    <xf numFmtId="44" fontId="0" fillId="0" borderId="3" xfId="1" applyFont="1" applyBorder="1" applyAlignment="1">
      <alignment horizontal="center"/>
    </xf>
    <xf numFmtId="44" fontId="0" fillId="0" borderId="15" xfId="1" applyFont="1" applyBorder="1" applyAlignment="1">
      <alignment horizontal="center"/>
    </xf>
    <xf numFmtId="44" fontId="0" fillId="0" borderId="9" xfId="1" applyFont="1" applyBorder="1" applyAlignment="1">
      <alignment horizontal="center"/>
    </xf>
    <xf numFmtId="44" fontId="0" fillId="0" borderId="8" xfId="1" applyFont="1"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2" fillId="34" borderId="30" xfId="0" applyFont="1" applyFill="1" applyBorder="1" applyAlignment="1">
      <alignment horizontal="center"/>
    </xf>
    <xf numFmtId="0" fontId="2" fillId="34" borderId="32" xfId="0" applyFont="1" applyFill="1" applyBorder="1" applyAlignment="1">
      <alignment horizontal="center"/>
    </xf>
    <xf numFmtId="44" fontId="0" fillId="0" borderId="11" xfId="1" applyFont="1" applyBorder="1" applyAlignment="1">
      <alignment horizontal="center"/>
    </xf>
    <xf numFmtId="44" fontId="0" fillId="0" borderId="12" xfId="1" applyFont="1" applyBorder="1" applyAlignment="1">
      <alignment horizontal="center"/>
    </xf>
    <xf numFmtId="0" fontId="2" fillId="34" borderId="3" xfId="0" applyFont="1" applyFill="1" applyBorder="1" applyAlignment="1">
      <alignment horizontal="center"/>
    </xf>
    <xf numFmtId="0" fontId="2" fillId="34" borderId="15" xfId="0" applyFont="1" applyFill="1" applyBorder="1" applyAlignment="1">
      <alignment horizontal="center"/>
    </xf>
    <xf numFmtId="0" fontId="0" fillId="0" borderId="2"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0" fillId="34" borderId="30" xfId="0" applyFill="1" applyBorder="1" applyAlignment="1">
      <alignment horizontal="left"/>
    </xf>
    <xf numFmtId="0" fontId="0" fillId="34" borderId="31" xfId="0" applyFill="1" applyBorder="1" applyAlignment="1">
      <alignment horizontal="left"/>
    </xf>
    <xf numFmtId="0" fontId="0" fillId="34" borderId="32" xfId="0" applyFill="1" applyBorder="1" applyAlignment="1">
      <alignment horizontal="left"/>
    </xf>
    <xf numFmtId="0" fontId="0" fillId="0" borderId="4" xfId="0" applyBorder="1" applyAlignment="1">
      <alignment horizontal="center"/>
    </xf>
    <xf numFmtId="0" fontId="0" fillId="0" borderId="26" xfId="0" applyBorder="1" applyAlignment="1">
      <alignment horizontal="center"/>
    </xf>
    <xf numFmtId="0" fontId="0" fillId="0" borderId="13" xfId="0" applyBorder="1" applyAlignment="1">
      <alignment horizontal="center"/>
    </xf>
    <xf numFmtId="0" fontId="2" fillId="34" borderId="5" xfId="0" applyFont="1" applyFill="1" applyBorder="1" applyAlignment="1">
      <alignment horizontal="center"/>
    </xf>
    <xf numFmtId="0" fontId="2" fillId="34" borderId="6"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alignment horizontal="center"/>
    </xf>
    <xf numFmtId="0" fontId="21" fillId="0" borderId="30" xfId="0" applyFont="1" applyBorder="1" applyAlignment="1">
      <alignment horizontal="center"/>
    </xf>
    <xf numFmtId="0" fontId="21" fillId="0" borderId="32" xfId="0" applyFont="1" applyBorder="1" applyAlignment="1">
      <alignment horizontal="center"/>
    </xf>
    <xf numFmtId="0" fontId="0" fillId="0" borderId="3" xfId="0" applyFont="1" applyBorder="1" applyAlignment="1">
      <alignment horizontal="left" wrapText="1"/>
    </xf>
    <xf numFmtId="0" fontId="0" fillId="0" borderId="15" xfId="0" applyFont="1" applyBorder="1" applyAlignment="1">
      <alignment horizontal="left" wrapText="1"/>
    </xf>
    <xf numFmtId="0" fontId="22" fillId="0" borderId="4" xfId="0" applyFont="1" applyBorder="1" applyAlignment="1">
      <alignment horizontal="center"/>
    </xf>
    <xf numFmtId="0" fontId="22" fillId="0" borderId="13" xfId="0" applyFont="1" applyBorder="1" applyAlignment="1">
      <alignment horizontal="center"/>
    </xf>
    <xf numFmtId="0" fontId="23" fillId="0" borderId="2" xfId="0" applyFont="1" applyBorder="1" applyAlignment="1">
      <alignment horizontal="center"/>
    </xf>
    <xf numFmtId="0" fontId="23" fillId="0" borderId="14" xfId="0" applyFont="1" applyBorder="1" applyAlignment="1">
      <alignment horizontal="center"/>
    </xf>
    <xf numFmtId="0" fontId="23" fillId="0" borderId="3" xfId="0" applyFont="1" applyBorder="1" applyAlignment="1">
      <alignment horizontal="center"/>
    </xf>
    <xf numFmtId="0" fontId="23" fillId="0" borderId="15" xfId="0" applyFont="1" applyBorder="1" applyAlignment="1">
      <alignment horizontal="center"/>
    </xf>
    <xf numFmtId="0" fontId="21" fillId="0" borderId="4" xfId="0" applyFont="1" applyBorder="1" applyAlignment="1">
      <alignment horizontal="center"/>
    </xf>
    <xf numFmtId="0" fontId="21" fillId="0" borderId="13" xfId="0" applyFont="1" applyBorder="1" applyAlignment="1">
      <alignment horizontal="center"/>
    </xf>
    <xf numFmtId="44" fontId="0" fillId="35" borderId="29" xfId="1" applyFont="1" applyFill="1" applyBorder="1"/>
    <xf numFmtId="44" fontId="0" fillId="35" borderId="27" xfId="1" applyFont="1" applyFill="1" applyBorder="1"/>
    <xf numFmtId="44" fontId="0" fillId="35" borderId="25" xfId="0" applyNumberFormat="1" applyFill="1" applyBorder="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2" builtinId="3"/>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colors>
    <mruColors>
      <color rgb="FFCDFF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'Income Distribution'!$F$1</c:f>
              <c:strCache>
                <c:ptCount val="1"/>
                <c:pt idx="0">
                  <c:v>Percentile</c:v>
                </c:pt>
              </c:strCache>
            </c:strRef>
          </c:tx>
          <c:spPr>
            <a:ln w="28575" cap="rnd">
              <a:noFill/>
              <a:round/>
            </a:ln>
            <a:effectLst/>
          </c:spPr>
          <c:marker>
            <c:symbol val="circle"/>
            <c:size val="5"/>
            <c:spPr>
              <a:solidFill>
                <a:schemeClr val="accent1"/>
              </a:solidFill>
              <a:ln w="9525">
                <a:noFill/>
              </a:ln>
              <a:effectLst/>
            </c:spPr>
          </c:marker>
          <c:trendline>
            <c:spPr>
              <a:ln w="19050" cap="rnd">
                <a:solidFill>
                  <a:schemeClr val="accent1"/>
                </a:solidFill>
                <a:prstDash val="sysDot"/>
              </a:ln>
              <a:effectLst/>
            </c:spPr>
            <c:trendlineType val="poly"/>
            <c:order val="4"/>
            <c:dispRSqr val="0"/>
            <c:dispEq val="1"/>
            <c:trendlineLbl>
              <c:layout>
                <c:manualLayout>
                  <c:x val="-9.3143353172388949E-2"/>
                  <c:y val="-6.9060061649795099E-2"/>
                </c:manualLayout>
              </c:layout>
              <c:numFmt formatCode="#,##0.0000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'Income Distribution'!$C$2:$C$43</c:f>
              <c:numCache>
                <c:formatCode>0</c:formatCode>
                <c:ptCount val="42"/>
                <c:pt idx="0">
                  <c:v>2500</c:v>
                </c:pt>
                <c:pt idx="1">
                  <c:v>7499.5</c:v>
                </c:pt>
                <c:pt idx="2">
                  <c:v>12499.5</c:v>
                </c:pt>
                <c:pt idx="3">
                  <c:v>17499.5</c:v>
                </c:pt>
                <c:pt idx="4">
                  <c:v>22499.5</c:v>
                </c:pt>
                <c:pt idx="5">
                  <c:v>27499.5</c:v>
                </c:pt>
                <c:pt idx="6">
                  <c:v>32499.5</c:v>
                </c:pt>
                <c:pt idx="7">
                  <c:v>37499.5</c:v>
                </c:pt>
                <c:pt idx="8">
                  <c:v>42499.5</c:v>
                </c:pt>
                <c:pt idx="9">
                  <c:v>47499.5</c:v>
                </c:pt>
                <c:pt idx="10">
                  <c:v>52499.5</c:v>
                </c:pt>
                <c:pt idx="11">
                  <c:v>57499.5</c:v>
                </c:pt>
                <c:pt idx="12">
                  <c:v>62499.5</c:v>
                </c:pt>
                <c:pt idx="13">
                  <c:v>67499.5</c:v>
                </c:pt>
                <c:pt idx="14">
                  <c:v>72499.5</c:v>
                </c:pt>
                <c:pt idx="15">
                  <c:v>77499.5</c:v>
                </c:pt>
                <c:pt idx="16">
                  <c:v>82499.5</c:v>
                </c:pt>
                <c:pt idx="17">
                  <c:v>87499.5</c:v>
                </c:pt>
                <c:pt idx="18">
                  <c:v>92499.5</c:v>
                </c:pt>
                <c:pt idx="19">
                  <c:v>97499.5</c:v>
                </c:pt>
                <c:pt idx="20">
                  <c:v>102499.5</c:v>
                </c:pt>
                <c:pt idx="21">
                  <c:v>107499.5</c:v>
                </c:pt>
                <c:pt idx="22">
                  <c:v>112499.5</c:v>
                </c:pt>
                <c:pt idx="23">
                  <c:v>117499.5</c:v>
                </c:pt>
                <c:pt idx="24">
                  <c:v>122499.5</c:v>
                </c:pt>
                <c:pt idx="25">
                  <c:v>127499.5</c:v>
                </c:pt>
                <c:pt idx="26">
                  <c:v>132499.5</c:v>
                </c:pt>
                <c:pt idx="27">
                  <c:v>137499.5</c:v>
                </c:pt>
                <c:pt idx="28">
                  <c:v>142499.5</c:v>
                </c:pt>
                <c:pt idx="29">
                  <c:v>147499.5</c:v>
                </c:pt>
                <c:pt idx="30">
                  <c:v>152499.5</c:v>
                </c:pt>
                <c:pt idx="31">
                  <c:v>157499.5</c:v>
                </c:pt>
                <c:pt idx="32">
                  <c:v>162499.5</c:v>
                </c:pt>
                <c:pt idx="33">
                  <c:v>167499.5</c:v>
                </c:pt>
                <c:pt idx="34">
                  <c:v>172499.5</c:v>
                </c:pt>
                <c:pt idx="35">
                  <c:v>177499.5</c:v>
                </c:pt>
                <c:pt idx="36">
                  <c:v>182499.5</c:v>
                </c:pt>
                <c:pt idx="37">
                  <c:v>187499.5</c:v>
                </c:pt>
                <c:pt idx="38">
                  <c:v>192499.5</c:v>
                </c:pt>
                <c:pt idx="39">
                  <c:v>197499.5</c:v>
                </c:pt>
                <c:pt idx="40">
                  <c:v>224999.5</c:v>
                </c:pt>
                <c:pt idx="41">
                  <c:v>275000</c:v>
                </c:pt>
              </c:numCache>
            </c:numRef>
          </c:cat>
          <c:val>
            <c:numRef>
              <c:f>'Income Distribution'!$F$2:$F$43</c:f>
              <c:numCache>
                <c:formatCode>General</c:formatCode>
                <c:ptCount val="42"/>
                <c:pt idx="0">
                  <c:v>0</c:v>
                </c:pt>
                <c:pt idx="1">
                  <c:v>3.67</c:v>
                </c:pt>
                <c:pt idx="2">
                  <c:v>7.14</c:v>
                </c:pt>
                <c:pt idx="3">
                  <c:v>12.57</c:v>
                </c:pt>
                <c:pt idx="4">
                  <c:v>18.010000000000002</c:v>
                </c:pt>
                <c:pt idx="5">
                  <c:v>23.52</c:v>
                </c:pt>
                <c:pt idx="6">
                  <c:v>28.63</c:v>
                </c:pt>
                <c:pt idx="7">
                  <c:v>33.630000000000003</c:v>
                </c:pt>
                <c:pt idx="8">
                  <c:v>38.33</c:v>
                </c:pt>
                <c:pt idx="9">
                  <c:v>42.69</c:v>
                </c:pt>
                <c:pt idx="10">
                  <c:v>46.75</c:v>
                </c:pt>
                <c:pt idx="11">
                  <c:v>50.83</c:v>
                </c:pt>
                <c:pt idx="12">
                  <c:v>54.22</c:v>
                </c:pt>
                <c:pt idx="13">
                  <c:v>57.81</c:v>
                </c:pt>
                <c:pt idx="14">
                  <c:v>60.79</c:v>
                </c:pt>
                <c:pt idx="15">
                  <c:v>63.79</c:v>
                </c:pt>
                <c:pt idx="16">
                  <c:v>66.58</c:v>
                </c:pt>
                <c:pt idx="17">
                  <c:v>69.11</c:v>
                </c:pt>
                <c:pt idx="18">
                  <c:v>71.31</c:v>
                </c:pt>
                <c:pt idx="19">
                  <c:v>73.45</c:v>
                </c:pt>
                <c:pt idx="20">
                  <c:v>75.33</c:v>
                </c:pt>
                <c:pt idx="21">
                  <c:v>77.48</c:v>
                </c:pt>
                <c:pt idx="22">
                  <c:v>79.14</c:v>
                </c:pt>
                <c:pt idx="23">
                  <c:v>80.680000000000007</c:v>
                </c:pt>
                <c:pt idx="24">
                  <c:v>81.99</c:v>
                </c:pt>
                <c:pt idx="25">
                  <c:v>83.48</c:v>
                </c:pt>
                <c:pt idx="26">
                  <c:v>84.65</c:v>
                </c:pt>
                <c:pt idx="27">
                  <c:v>85.86</c:v>
                </c:pt>
                <c:pt idx="28">
                  <c:v>86.84</c:v>
                </c:pt>
                <c:pt idx="29">
                  <c:v>87.87</c:v>
                </c:pt>
                <c:pt idx="30">
                  <c:v>88.7</c:v>
                </c:pt>
                <c:pt idx="31">
                  <c:v>89.62</c:v>
                </c:pt>
                <c:pt idx="32">
                  <c:v>90.3</c:v>
                </c:pt>
                <c:pt idx="33">
                  <c:v>91</c:v>
                </c:pt>
                <c:pt idx="34">
                  <c:v>91.63</c:v>
                </c:pt>
                <c:pt idx="35">
                  <c:v>92.21</c:v>
                </c:pt>
                <c:pt idx="36">
                  <c:v>92.69</c:v>
                </c:pt>
                <c:pt idx="37">
                  <c:v>93.19</c:v>
                </c:pt>
                <c:pt idx="38">
                  <c:v>93.64</c:v>
                </c:pt>
                <c:pt idx="39">
                  <c:v>94.03</c:v>
                </c:pt>
                <c:pt idx="40">
                  <c:v>94.38</c:v>
                </c:pt>
                <c:pt idx="41">
                  <c:v>96.98</c:v>
                </c:pt>
              </c:numCache>
            </c:numRef>
          </c:val>
          <c:smooth val="0"/>
          <c:extLst>
            <c:ext xmlns:c16="http://schemas.microsoft.com/office/drawing/2014/chart" uri="{C3380CC4-5D6E-409C-BE32-E72D297353CC}">
              <c16:uniqueId val="{00000002-04CF-4682-AE24-A818261CF8C4}"/>
            </c:ext>
          </c:extLst>
        </c:ser>
        <c:dLbls>
          <c:showLegendKey val="0"/>
          <c:showVal val="0"/>
          <c:showCatName val="0"/>
          <c:showSerName val="0"/>
          <c:showPercent val="0"/>
          <c:showBubbleSize val="0"/>
        </c:dLbls>
        <c:marker val="1"/>
        <c:smooth val="0"/>
        <c:axId val="1046449976"/>
        <c:axId val="1046447024"/>
      </c:lineChart>
      <c:catAx>
        <c:axId val="1046449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7024"/>
        <c:crosses val="autoZero"/>
        <c:auto val="1"/>
        <c:lblAlgn val="ctr"/>
        <c:lblOffset val="100"/>
        <c:noMultiLvlLbl val="0"/>
      </c:catAx>
      <c:valAx>
        <c:axId val="104644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9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885825</xdr:colOff>
      <xdr:row>18</xdr:row>
      <xdr:rowOff>95250</xdr:rowOff>
    </xdr:from>
    <xdr:to>
      <xdr:col>8</xdr:col>
      <xdr:colOff>266700</xdr:colOff>
      <xdr:row>20</xdr:row>
      <xdr:rowOff>133350</xdr:rowOff>
    </xdr:to>
    <xdr:sp macro="[0]!Clearcells" textlink="">
      <xdr:nvSpPr>
        <xdr:cNvPr id="2" name="Rectangle 1">
          <a:extLst>
            <a:ext uri="{FF2B5EF4-FFF2-40B4-BE49-F238E27FC236}">
              <a16:creationId xmlns:a16="http://schemas.microsoft.com/office/drawing/2014/main" id="{00000000-0008-0000-0000-000002000000}"/>
            </a:ext>
          </a:extLst>
        </xdr:cNvPr>
        <xdr:cNvSpPr/>
      </xdr:nvSpPr>
      <xdr:spPr>
        <a:xfrm>
          <a:off x="7905750" y="3524250"/>
          <a:ext cx="1514475"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Clear</a:t>
          </a:r>
          <a:r>
            <a:rPr lang="en-US" sz="1100" baseline="0"/>
            <a:t> </a:t>
          </a:r>
          <a:r>
            <a:rPr lang="en-US" sz="1800" baseline="0"/>
            <a:t>Fields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423862</xdr:colOff>
      <xdr:row>13</xdr:row>
      <xdr:rowOff>185737</xdr:rowOff>
    </xdr:from>
    <xdr:to>
      <xdr:col>19</xdr:col>
      <xdr:colOff>552450</xdr:colOff>
      <xdr:row>33</xdr:row>
      <xdr:rowOff>85725</xdr:rowOff>
    </xdr:to>
    <xdr:graphicFrame macro="">
      <xdr:nvGraphicFramePr>
        <xdr:cNvPr id="2" name="Chart 1">
          <a:extLst>
            <a:ext uri="{FF2B5EF4-FFF2-40B4-BE49-F238E27FC236}">
              <a16:creationId xmlns:a16="http://schemas.microsoft.com/office/drawing/2014/main" id="{AD469A3D-C926-4337-86EA-9861B45978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bls.gov/oes/current/oes_stru.htm" TargetMode="External"/><Relationship Id="rId13" Type="http://schemas.openxmlformats.org/officeDocument/2006/relationships/hyperlink" Target="https://en.wikipedia.org/wiki/Household_income_in_the_United_States" TargetMode="External"/><Relationship Id="rId3" Type="http://schemas.openxmlformats.org/officeDocument/2006/relationships/hyperlink" Target="https://www.medscape.com/slideshow/2018-compensation-overview-6009667" TargetMode="External"/><Relationship Id="rId7" Type="http://schemas.openxmlformats.org/officeDocument/2006/relationships/hyperlink" Target="https://www.wallstreetoasis.com/salary-bonus-by-industry" TargetMode="External"/><Relationship Id="rId12" Type="http://schemas.openxmlformats.org/officeDocument/2006/relationships/hyperlink" Target="https://www.nber.org/papers/w24085" TargetMode="External"/><Relationship Id="rId2" Type="http://schemas.openxmlformats.org/officeDocument/2006/relationships/hyperlink" Target="https://www.roberthalf.com/sites/roberthalf.ca/files/documents/2018_salary_guide_CA_legal.pdf" TargetMode="External"/><Relationship Id="rId1" Type="http://schemas.openxmlformats.org/officeDocument/2006/relationships/hyperlink" Target="https://www.aaup.org/report/annual-report-economic-status-profession-2017-18" TargetMode="External"/><Relationship Id="rId6" Type="http://schemas.openxmlformats.org/officeDocument/2006/relationships/hyperlink" Target="https://www.roberthalf.com/salary-guide/accounting-and-finance" TargetMode="External"/><Relationship Id="rId11" Type="http://schemas.openxmlformats.org/officeDocument/2006/relationships/hyperlink" Target="https://www.nber.org/papers/w24085" TargetMode="External"/><Relationship Id="rId5" Type="http://schemas.openxmlformats.org/officeDocument/2006/relationships/hyperlink" Target="https://www.medscape.com/slideshow/2018-rn-lpn-compensation-report-6010589" TargetMode="External"/><Relationship Id="rId10" Type="http://schemas.openxmlformats.org/officeDocument/2006/relationships/hyperlink" Target="https://www.roberthalf.com/sites/roberthalf.ca/files/documents/2018_salary_guide_CA_legal.pdf" TargetMode="External"/><Relationship Id="rId4" Type="http://schemas.openxmlformats.org/officeDocument/2006/relationships/hyperlink" Target="https://www.ada.org/en/science-research/health-policy-institute/dental-statistics/income-billing-and-other-dentistry-statistics" TargetMode="External"/><Relationship Id="rId9" Type="http://schemas.openxmlformats.org/officeDocument/2006/relationships/hyperlink" Target="https://meainfo.org/pdf/survey-reports/2018-National/Sample_2018_EAA_National_Executive_Compensation_Survey.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3028-E46A-4684-974C-00AE11491C8E}">
  <sheetPr codeName="Sheet1"/>
  <dimension ref="B2:M37"/>
  <sheetViews>
    <sheetView topLeftCell="B1" zoomScaleNormal="100" workbookViewId="0">
      <selection activeCell="E22" sqref="E22:F22"/>
    </sheetView>
  </sheetViews>
  <sheetFormatPr defaultRowHeight="15" x14ac:dyDescent="0.25"/>
  <cols>
    <col min="2" max="2" width="19.7109375" bestFit="1" customWidth="1"/>
    <col min="3" max="3" width="15.28515625" customWidth="1"/>
    <col min="5" max="5" width="25.28515625" bestFit="1" customWidth="1"/>
    <col min="6" max="6" width="17.42578125" customWidth="1"/>
    <col min="7" max="7" width="9.28515625" customWidth="1"/>
    <col min="8" max="8" width="32" bestFit="1" customWidth="1"/>
    <col min="9" max="9" width="18" customWidth="1"/>
    <col min="11" max="11" width="11.28515625" bestFit="1" customWidth="1"/>
    <col min="12" max="12" width="31.42578125" bestFit="1" customWidth="1"/>
    <col min="14" max="14" width="16.5703125" bestFit="1" customWidth="1"/>
    <col min="17" max="17" width="16.5703125" bestFit="1" customWidth="1"/>
  </cols>
  <sheetData>
    <row r="2" spans="2:13" x14ac:dyDescent="0.25">
      <c r="B2" s="81" t="s">
        <v>0</v>
      </c>
      <c r="C2" s="82"/>
      <c r="E2" s="81" t="s">
        <v>15</v>
      </c>
      <c r="F2" s="82"/>
      <c r="H2" s="81" t="s">
        <v>434</v>
      </c>
      <c r="I2" s="82"/>
    </row>
    <row r="3" spans="2:13" x14ac:dyDescent="0.25">
      <c r="B3" s="44" t="s">
        <v>1</v>
      </c>
      <c r="C3" s="117">
        <f>Calculations!D2*Calculations!D4</f>
        <v>0</v>
      </c>
      <c r="E3" s="44" t="s">
        <v>12</v>
      </c>
      <c r="F3" s="31"/>
      <c r="H3" s="53" t="s">
        <v>407</v>
      </c>
      <c r="I3" s="67">
        <f>Calculations!D16</f>
        <v>0</v>
      </c>
    </row>
    <row r="4" spans="2:13" x14ac:dyDescent="0.25">
      <c r="B4" s="45" t="s">
        <v>2</v>
      </c>
      <c r="C4" s="118">
        <f>Calculations!D3*Calculations!D5</f>
        <v>0</v>
      </c>
      <c r="E4" s="49" t="s">
        <v>14</v>
      </c>
      <c r="F4" s="32"/>
      <c r="H4" s="51" t="s">
        <v>408</v>
      </c>
      <c r="I4" s="68">
        <f>Calculations!E16</f>
        <v>0</v>
      </c>
    </row>
    <row r="5" spans="2:13" x14ac:dyDescent="0.25">
      <c r="B5" s="81" t="s">
        <v>3</v>
      </c>
      <c r="C5" s="82"/>
      <c r="E5" s="45" t="s">
        <v>13</v>
      </c>
      <c r="F5" s="33"/>
      <c r="H5" s="51" t="s">
        <v>409</v>
      </c>
      <c r="I5" s="68">
        <f>Calculations!G16</f>
        <v>0</v>
      </c>
    </row>
    <row r="6" spans="2:13" x14ac:dyDescent="0.25">
      <c r="B6" s="44" t="s">
        <v>4</v>
      </c>
      <c r="C6" s="32"/>
      <c r="G6" s="10"/>
      <c r="H6" s="51" t="s">
        <v>421</v>
      </c>
      <c r="I6" s="68">
        <f>Calculations!H16</f>
        <v>0</v>
      </c>
    </row>
    <row r="7" spans="2:13" x14ac:dyDescent="0.25">
      <c r="B7" s="44" t="s">
        <v>5</v>
      </c>
      <c r="C7" s="117">
        <f>SUM(E11:F19)</f>
        <v>0</v>
      </c>
      <c r="E7" s="48" t="s">
        <v>94</v>
      </c>
      <c r="F7" s="31"/>
      <c r="G7" s="10"/>
      <c r="H7" s="51" t="s">
        <v>410</v>
      </c>
      <c r="I7" s="68">
        <f>Calculations!I16</f>
        <v>0</v>
      </c>
    </row>
    <row r="8" spans="2:13" x14ac:dyDescent="0.25">
      <c r="B8" s="81" t="s">
        <v>418</v>
      </c>
      <c r="C8" s="82"/>
      <c r="E8" s="45" t="s">
        <v>417</v>
      </c>
      <c r="F8" s="22"/>
      <c r="G8" s="10"/>
      <c r="H8" s="52" t="s">
        <v>414</v>
      </c>
      <c r="I8" s="69">
        <f>Calculations!J16</f>
        <v>0</v>
      </c>
    </row>
    <row r="9" spans="2:13" x14ac:dyDescent="0.25">
      <c r="B9" s="48" t="s">
        <v>6</v>
      </c>
      <c r="C9" s="34"/>
      <c r="E9" s="6"/>
      <c r="G9" s="10"/>
    </row>
    <row r="10" spans="2:13" x14ac:dyDescent="0.25">
      <c r="B10" s="44" t="s">
        <v>7</v>
      </c>
      <c r="C10" s="32"/>
      <c r="E10" s="99" t="s">
        <v>64</v>
      </c>
      <c r="F10" s="100"/>
      <c r="G10" s="10"/>
      <c r="H10" s="81" t="s">
        <v>485</v>
      </c>
      <c r="I10" s="82"/>
    </row>
    <row r="11" spans="2:13" x14ac:dyDescent="0.25">
      <c r="B11" s="81" t="s">
        <v>411</v>
      </c>
      <c r="C11" s="82"/>
      <c r="E11" s="77"/>
      <c r="F11" s="78"/>
      <c r="G11" s="10"/>
      <c r="H11" s="53" t="s">
        <v>407</v>
      </c>
      <c r="I11" s="67">
        <f>Calculations!D18</f>
        <v>0</v>
      </c>
    </row>
    <row r="12" spans="2:13" x14ac:dyDescent="0.25">
      <c r="B12" s="44" t="s">
        <v>433</v>
      </c>
      <c r="C12" s="31"/>
      <c r="E12" s="71"/>
      <c r="F12" s="72"/>
      <c r="G12" s="10"/>
      <c r="H12" s="51" t="s">
        <v>408</v>
      </c>
      <c r="I12" s="68">
        <f>Calculations!E18</f>
        <v>0</v>
      </c>
    </row>
    <row r="13" spans="2:13" x14ac:dyDescent="0.25">
      <c r="B13" s="45" t="s">
        <v>412</v>
      </c>
      <c r="C13" s="22"/>
      <c r="E13" s="71"/>
      <c r="F13" s="72"/>
      <c r="H13" s="51" t="s">
        <v>409</v>
      </c>
      <c r="I13" s="68">
        <f>Calculations!G18</f>
        <v>0</v>
      </c>
      <c r="M13" s="25"/>
    </row>
    <row r="14" spans="2:13" x14ac:dyDescent="0.25">
      <c r="B14" s="81" t="s">
        <v>8</v>
      </c>
      <c r="C14" s="82"/>
      <c r="E14" s="71"/>
      <c r="F14" s="72"/>
      <c r="H14" s="51" t="s">
        <v>421</v>
      </c>
      <c r="I14" s="68">
        <f>Calculations!H18</f>
        <v>0</v>
      </c>
    </row>
    <row r="15" spans="2:13" x14ac:dyDescent="0.25">
      <c r="B15" s="44" t="s">
        <v>10</v>
      </c>
      <c r="C15" s="32"/>
      <c r="E15" s="71"/>
      <c r="F15" s="72"/>
      <c r="H15" s="51" t="s">
        <v>410</v>
      </c>
      <c r="I15" s="68">
        <f>Calculations!I18</f>
        <v>0</v>
      </c>
    </row>
    <row r="16" spans="2:13" x14ac:dyDescent="0.25">
      <c r="B16" s="44" t="s">
        <v>415</v>
      </c>
      <c r="C16" s="32"/>
      <c r="E16" s="71"/>
      <c r="F16" s="72"/>
      <c r="H16" s="52" t="s">
        <v>414</v>
      </c>
      <c r="I16" s="69">
        <f>Calculations!J18</f>
        <v>0</v>
      </c>
    </row>
    <row r="17" spans="2:10" x14ac:dyDescent="0.25">
      <c r="B17" s="45" t="s">
        <v>11</v>
      </c>
      <c r="C17" s="118">
        <f>SUM(C31:C37)</f>
        <v>0</v>
      </c>
      <c r="E17" s="71"/>
      <c r="F17" s="72"/>
      <c r="H17" s="36"/>
      <c r="I17" s="36"/>
      <c r="J17" s="9"/>
    </row>
    <row r="18" spans="2:10" x14ac:dyDescent="0.25">
      <c r="E18" s="73"/>
      <c r="F18" s="74"/>
      <c r="H18" s="66" t="s">
        <v>486</v>
      </c>
      <c r="I18" s="70">
        <f>IF(IF(F4&gt;F5,F4*5,F5*5)&gt;0.05*C19,IF(F4&gt;F5,F4*5,F5*5),0.05*C19)</f>
        <v>0</v>
      </c>
      <c r="J18" s="9"/>
    </row>
    <row r="19" spans="2:10" x14ac:dyDescent="0.25">
      <c r="B19" s="65" t="s">
        <v>63</v>
      </c>
      <c r="C19" s="119">
        <f>SUM(C3:C13)</f>
        <v>0</v>
      </c>
      <c r="E19" s="75"/>
      <c r="F19" s="76"/>
      <c r="G19" s="9"/>
      <c r="J19" s="9"/>
    </row>
    <row r="20" spans="2:10" x14ac:dyDescent="0.25">
      <c r="E20" s="37"/>
      <c r="F20" s="37"/>
      <c r="G20" s="9"/>
    </row>
    <row r="21" spans="2:10" x14ac:dyDescent="0.25">
      <c r="B21" s="81" t="s">
        <v>57</v>
      </c>
      <c r="C21" s="82"/>
      <c r="E21" s="85" t="s">
        <v>59</v>
      </c>
      <c r="F21" s="86"/>
      <c r="G21" s="19"/>
    </row>
    <row r="22" spans="2:10" x14ac:dyDescent="0.25">
      <c r="B22" s="79" t="s">
        <v>5</v>
      </c>
      <c r="C22" s="80"/>
      <c r="E22" s="79" t="s">
        <v>5</v>
      </c>
      <c r="F22" s="80"/>
      <c r="H22" s="81" t="s">
        <v>179</v>
      </c>
      <c r="I22" s="82"/>
    </row>
    <row r="23" spans="2:10" x14ac:dyDescent="0.25">
      <c r="B23" s="81" t="s">
        <v>58</v>
      </c>
      <c r="C23" s="82"/>
      <c r="E23" s="81" t="s">
        <v>60</v>
      </c>
      <c r="F23" s="82"/>
      <c r="H23" s="44" t="s">
        <v>416</v>
      </c>
      <c r="I23" s="31" t="s">
        <v>141</v>
      </c>
    </row>
    <row r="24" spans="2:10" x14ac:dyDescent="0.25">
      <c r="B24" s="83"/>
      <c r="C24" s="84"/>
      <c r="E24" s="83"/>
      <c r="F24" s="84"/>
      <c r="H24" s="44" t="s">
        <v>121</v>
      </c>
      <c r="I24" s="22" t="s">
        <v>141</v>
      </c>
    </row>
    <row r="25" spans="2:10" x14ac:dyDescent="0.25">
      <c r="H25" s="28"/>
      <c r="I25" s="29"/>
    </row>
    <row r="26" spans="2:10" x14ac:dyDescent="0.25">
      <c r="B26" s="50" t="s">
        <v>97</v>
      </c>
      <c r="C26" s="56"/>
      <c r="E26" s="81" t="s">
        <v>231</v>
      </c>
      <c r="F26" s="82"/>
      <c r="H26" s="81" t="s">
        <v>180</v>
      </c>
      <c r="I26" s="82"/>
    </row>
    <row r="27" spans="2:10" x14ac:dyDescent="0.25">
      <c r="B27" s="51" t="s">
        <v>98</v>
      </c>
      <c r="C27" s="57"/>
      <c r="E27" s="54" t="s">
        <v>1</v>
      </c>
      <c r="F27" s="59" t="s">
        <v>232</v>
      </c>
      <c r="H27" s="44" t="s">
        <v>416</v>
      </c>
      <c r="I27" s="31" t="s">
        <v>141</v>
      </c>
    </row>
    <row r="28" spans="2:10" x14ac:dyDescent="0.25">
      <c r="B28" s="52" t="s">
        <v>93</v>
      </c>
      <c r="C28" s="58"/>
      <c r="E28" s="55" t="s">
        <v>2</v>
      </c>
      <c r="F28" s="60" t="s">
        <v>232</v>
      </c>
      <c r="G28" s="16"/>
      <c r="H28" s="45" t="s">
        <v>121</v>
      </c>
      <c r="I28" s="22" t="s">
        <v>141</v>
      </c>
    </row>
    <row r="29" spans="2:10" x14ac:dyDescent="0.25">
      <c r="B29" s="18"/>
      <c r="F29" s="16"/>
      <c r="G29" s="16"/>
    </row>
    <row r="30" spans="2:10" x14ac:dyDescent="0.25">
      <c r="B30" s="46" t="s">
        <v>419</v>
      </c>
      <c r="C30" s="47" t="s">
        <v>420</v>
      </c>
      <c r="D30" s="93" t="s">
        <v>118</v>
      </c>
      <c r="E30" s="94"/>
      <c r="F30" s="94"/>
      <c r="G30" s="94"/>
      <c r="H30" s="94"/>
      <c r="I30" s="95"/>
    </row>
    <row r="31" spans="2:10" x14ac:dyDescent="0.25">
      <c r="B31" s="38"/>
      <c r="C31" s="39"/>
      <c r="D31" s="96"/>
      <c r="E31" s="97"/>
      <c r="F31" s="97"/>
      <c r="G31" s="97"/>
      <c r="H31" s="97"/>
      <c r="I31" s="98"/>
    </row>
    <row r="32" spans="2:10" x14ac:dyDescent="0.25">
      <c r="B32" s="39"/>
      <c r="C32" s="23"/>
      <c r="D32" s="87"/>
      <c r="E32" s="88"/>
      <c r="F32" s="88"/>
      <c r="G32" s="88"/>
      <c r="H32" s="88"/>
      <c r="I32" s="89"/>
    </row>
    <row r="33" spans="2:9" x14ac:dyDescent="0.25">
      <c r="B33" s="39"/>
      <c r="C33" s="23"/>
      <c r="D33" s="87"/>
      <c r="E33" s="88"/>
      <c r="F33" s="88"/>
      <c r="G33" s="88"/>
      <c r="H33" s="88"/>
      <c r="I33" s="89"/>
    </row>
    <row r="34" spans="2:9" x14ac:dyDescent="0.25">
      <c r="B34" s="3"/>
      <c r="C34" s="23"/>
      <c r="D34" s="87"/>
      <c r="E34" s="88"/>
      <c r="F34" s="88"/>
      <c r="G34" s="88"/>
      <c r="H34" s="88"/>
      <c r="I34" s="89"/>
    </row>
    <row r="35" spans="2:9" x14ac:dyDescent="0.25">
      <c r="B35" s="3"/>
      <c r="C35" s="23"/>
      <c r="D35" s="87"/>
      <c r="E35" s="88"/>
      <c r="F35" s="88"/>
      <c r="G35" s="88"/>
      <c r="H35" s="88"/>
      <c r="I35" s="89"/>
    </row>
    <row r="36" spans="2:9" x14ac:dyDescent="0.25">
      <c r="B36" s="3"/>
      <c r="C36" s="23"/>
      <c r="D36" s="87"/>
      <c r="E36" s="88"/>
      <c r="F36" s="88"/>
      <c r="G36" s="88"/>
      <c r="H36" s="88"/>
      <c r="I36" s="89"/>
    </row>
    <row r="37" spans="2:9" x14ac:dyDescent="0.25">
      <c r="B37" s="2"/>
      <c r="C37" s="22"/>
      <c r="D37" s="90"/>
      <c r="E37" s="91"/>
      <c r="F37" s="91"/>
      <c r="G37" s="91"/>
      <c r="H37" s="91"/>
      <c r="I37" s="92"/>
    </row>
  </sheetData>
  <mergeCells count="37">
    <mergeCell ref="D35:I35"/>
    <mergeCell ref="D34:I34"/>
    <mergeCell ref="D36:I36"/>
    <mergeCell ref="D37:I37"/>
    <mergeCell ref="H2:I2"/>
    <mergeCell ref="H10:I10"/>
    <mergeCell ref="D30:I30"/>
    <mergeCell ref="D31:I31"/>
    <mergeCell ref="D32:I32"/>
    <mergeCell ref="D33:I33"/>
    <mergeCell ref="H26:I26"/>
    <mergeCell ref="E2:F2"/>
    <mergeCell ref="E26:F26"/>
    <mergeCell ref="H22:I22"/>
    <mergeCell ref="E16:F16"/>
    <mergeCell ref="E10:F10"/>
    <mergeCell ref="B2:C2"/>
    <mergeCell ref="B5:C5"/>
    <mergeCell ref="B8:C8"/>
    <mergeCell ref="B11:C11"/>
    <mergeCell ref="B14:C14"/>
    <mergeCell ref="B22:C22"/>
    <mergeCell ref="E22:F22"/>
    <mergeCell ref="B21:C21"/>
    <mergeCell ref="B23:C23"/>
    <mergeCell ref="B24:C24"/>
    <mergeCell ref="E21:F21"/>
    <mergeCell ref="E23:F23"/>
    <mergeCell ref="E24:F24"/>
    <mergeCell ref="E17:F17"/>
    <mergeCell ref="E18:F18"/>
    <mergeCell ref="E19:F19"/>
    <mergeCell ref="E11:F11"/>
    <mergeCell ref="E12:F12"/>
    <mergeCell ref="E13:F13"/>
    <mergeCell ref="E14:F14"/>
    <mergeCell ref="E15:F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5407B6C-2B0A-478E-9835-1BB62FA65C7B}">
          <x14:formula1>
            <xm:f>'Compensation Numbers'!$J$123:$J$131</xm:f>
          </x14:formula1>
          <xm:sqref>I24 I28</xm:sqref>
        </x14:dataValidation>
        <x14:dataValidation type="list" allowBlank="1" showInputMessage="1" showErrorMessage="1" xr:uid="{A7260A0C-F130-418B-9DEC-DA3FB4E35B84}">
          <x14:formula1>
            <xm:f>'Compensation Numbers'!$H$123:$H$132</xm:f>
          </x14:formula1>
          <xm:sqref>I27</xm:sqref>
        </x14:dataValidation>
        <x14:dataValidation type="list" showInputMessage="1" showErrorMessage="1" xr:uid="{C63BFD78-5FD8-4955-9C39-1BDB22F29921}">
          <x14:formula1>
            <xm:f>'Compensation Numbers'!$H$123:$H$132</xm:f>
          </x14:formula1>
          <xm:sqref>I23</xm:sqref>
        </x14:dataValidation>
        <x14:dataValidation type="list" allowBlank="1" showInputMessage="1" showErrorMessage="1" xr:uid="{4E723205-D145-45E6-8EA0-395BA2E9779F}">
          <x14:formula1>
            <xm:f>'Location Variance'!$A$1:$A$139</xm:f>
          </x14:formula1>
          <xm:sqref>F27:F28</xm:sqref>
        </x14:dataValidation>
        <x14:dataValidation type="list" allowBlank="1" showInputMessage="1" showErrorMessage="1" xr:uid="{8AFCC2A9-E0A6-4AE6-B2E8-4977CB81CAFA}">
          <x14:formula1>
            <xm:f>'Compensation Numbers'!$B$1:$B$183</xm:f>
          </x14:formula1>
          <xm:sqref>B22:C22 E22:F22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98956-F5DF-4310-B6A7-D98026B8FC37}">
  <sheetPr codeName="Sheet4">
    <pageSetUpPr fitToPage="1"/>
  </sheetPr>
  <dimension ref="A1:AI553"/>
  <sheetViews>
    <sheetView workbookViewId="0">
      <selection activeCell="A3" sqref="A3:XFD7"/>
    </sheetView>
  </sheetViews>
  <sheetFormatPr defaultRowHeight="15" x14ac:dyDescent="0.25"/>
  <cols>
    <col min="1" max="1" width="9" customWidth="1"/>
    <col min="2" max="2" width="11.140625" bestFit="1" customWidth="1"/>
    <col min="3" max="3" width="13.28515625" bestFit="1" customWidth="1"/>
    <col min="4" max="4" width="13.5703125" bestFit="1" customWidth="1"/>
    <col min="5" max="5" width="13.28515625" bestFit="1" customWidth="1"/>
    <col min="6" max="6" width="14.5703125" bestFit="1" customWidth="1"/>
    <col min="7" max="7" width="15.28515625" bestFit="1" customWidth="1"/>
    <col min="8" max="8" width="17.7109375" bestFit="1" customWidth="1"/>
    <col min="9" max="9" width="16.42578125" bestFit="1" customWidth="1"/>
    <col min="10" max="10" width="12.28515625" bestFit="1" customWidth="1"/>
    <col min="11" max="11" width="10" bestFit="1" customWidth="1"/>
    <col min="12" max="12" width="19.42578125" bestFit="1" customWidth="1"/>
    <col min="13" max="15" width="18" bestFit="1" customWidth="1"/>
    <col min="16" max="16" width="16" bestFit="1" customWidth="1"/>
    <col min="17" max="17" width="18.28515625" bestFit="1" customWidth="1"/>
    <col min="18" max="18" width="14.140625" bestFit="1" customWidth="1"/>
    <col min="19" max="19" width="18.28515625" bestFit="1" customWidth="1"/>
    <col min="20" max="20" width="13.140625" bestFit="1" customWidth="1"/>
    <col min="21" max="21" width="17" bestFit="1" customWidth="1"/>
    <col min="22" max="22" width="15.42578125" bestFit="1" customWidth="1"/>
    <col min="23" max="23" width="19.140625" bestFit="1" customWidth="1"/>
    <col min="24" max="24" width="9.28515625" bestFit="1" customWidth="1"/>
    <col min="25" max="25" width="11.28515625" bestFit="1" customWidth="1"/>
    <col min="26" max="26" width="21.85546875" style="14" bestFit="1" customWidth="1"/>
    <col min="27" max="27" width="23.85546875" bestFit="1" customWidth="1"/>
    <col min="28" max="28" width="25.5703125" bestFit="1" customWidth="1"/>
    <col min="29" max="29" width="30.85546875" bestFit="1" customWidth="1"/>
    <col min="30" max="30" width="27.5703125" bestFit="1" customWidth="1"/>
    <col min="31" max="31" width="32.85546875" bestFit="1" customWidth="1"/>
    <col min="32" max="32" width="27.85546875" bestFit="1" customWidth="1"/>
    <col min="33" max="33" width="22.85546875" bestFit="1" customWidth="1"/>
    <col min="34" max="34" width="26.28515625" bestFit="1" customWidth="1"/>
    <col min="35" max="35" width="33.28515625" bestFit="1" customWidth="1"/>
    <col min="36" max="36" width="21.42578125" bestFit="1" customWidth="1"/>
    <col min="37" max="37" width="27.28515625" bestFit="1" customWidth="1"/>
    <col min="38" max="38" width="27.7109375" bestFit="1" customWidth="1"/>
    <col min="39" max="39" width="23.42578125" bestFit="1" customWidth="1"/>
    <col min="40" max="40" width="25.28515625" bestFit="1" customWidth="1"/>
    <col min="41" max="41" width="12.85546875" bestFit="1" customWidth="1"/>
  </cols>
  <sheetData>
    <row r="1" spans="1:35" x14ac:dyDescent="0.25">
      <c r="A1" s="12">
        <v>3</v>
      </c>
    </row>
    <row r="2" spans="1:35" x14ac:dyDescent="0.25">
      <c r="A2" s="1" t="s">
        <v>93</v>
      </c>
      <c r="B2" s="1" t="s">
        <v>97</v>
      </c>
      <c r="C2" s="1" t="s">
        <v>98</v>
      </c>
      <c r="D2" s="1" t="s">
        <v>95</v>
      </c>
      <c r="E2" s="1" t="s">
        <v>435</v>
      </c>
      <c r="F2" s="1" t="s">
        <v>96</v>
      </c>
      <c r="G2" s="1" t="s">
        <v>436</v>
      </c>
      <c r="H2" s="1" t="s">
        <v>437</v>
      </c>
      <c r="I2" s="1" t="s">
        <v>438</v>
      </c>
      <c r="J2" s="1" t="s">
        <v>6</v>
      </c>
      <c r="K2" s="1" t="s">
        <v>7</v>
      </c>
      <c r="L2" s="1" t="s">
        <v>439</v>
      </c>
      <c r="M2" s="1" t="s">
        <v>412</v>
      </c>
      <c r="N2" s="1" t="s">
        <v>10</v>
      </c>
      <c r="O2" s="1" t="s">
        <v>9</v>
      </c>
      <c r="P2" s="1" t="s">
        <v>11</v>
      </c>
      <c r="Q2" s="1" t="s">
        <v>440</v>
      </c>
      <c r="R2" s="1" t="s">
        <v>441</v>
      </c>
      <c r="S2" s="1" t="s">
        <v>442</v>
      </c>
      <c r="T2" s="15" t="s">
        <v>443</v>
      </c>
      <c r="U2" s="61" t="s">
        <v>444</v>
      </c>
      <c r="V2" s="61" t="s">
        <v>445</v>
      </c>
      <c r="W2" s="61" t="s">
        <v>446</v>
      </c>
      <c r="X2" s="61" t="s">
        <v>447</v>
      </c>
      <c r="Y2" s="61" t="s">
        <v>448</v>
      </c>
      <c r="Z2" s="61" t="s">
        <v>449</v>
      </c>
      <c r="AA2" s="61" t="s">
        <v>450</v>
      </c>
      <c r="AB2" s="61" t="s">
        <v>451</v>
      </c>
      <c r="AC2" s="61" t="s">
        <v>452</v>
      </c>
      <c r="AD2" s="61" t="s">
        <v>453</v>
      </c>
      <c r="AE2" s="61" t="s">
        <v>454</v>
      </c>
      <c r="AF2" s="61" t="s">
        <v>455</v>
      </c>
      <c r="AG2" s="61" t="s">
        <v>456</v>
      </c>
      <c r="AH2" s="61" t="s">
        <v>13</v>
      </c>
      <c r="AI2" s="61" t="s">
        <v>457</v>
      </c>
    </row>
    <row r="8" spans="1:35" x14ac:dyDescent="0.25">
      <c r="F8" s="13"/>
      <c r="H8" s="13"/>
      <c r="I8" s="13"/>
      <c r="J8" s="13"/>
      <c r="U8" s="13"/>
      <c r="W8" s="13"/>
      <c r="X8" s="13"/>
      <c r="Y8" s="13"/>
    </row>
    <row r="9" spans="1:35" x14ac:dyDescent="0.25">
      <c r="F9" s="13"/>
      <c r="H9" s="13"/>
      <c r="I9" s="13"/>
      <c r="J9" s="13"/>
      <c r="P9" s="13"/>
      <c r="Q9" s="13"/>
      <c r="U9" s="13"/>
      <c r="W9" s="13"/>
      <c r="X9" s="13"/>
      <c r="Y9" s="13"/>
    </row>
    <row r="10" spans="1:35" x14ac:dyDescent="0.25">
      <c r="F10" s="13"/>
      <c r="H10" s="13"/>
      <c r="I10" s="13"/>
      <c r="U10" s="13"/>
      <c r="W10" s="13"/>
      <c r="X10" s="13"/>
      <c r="Y10" s="13"/>
    </row>
    <row r="11" spans="1:35" x14ac:dyDescent="0.25">
      <c r="F11" s="13"/>
      <c r="H11" s="13"/>
      <c r="I11" s="13"/>
      <c r="U11" s="13"/>
      <c r="W11" s="13"/>
      <c r="X11" s="13"/>
      <c r="Y11" s="13"/>
    </row>
    <row r="12" spans="1:35" x14ac:dyDescent="0.25">
      <c r="F12" s="13"/>
      <c r="H12" s="13"/>
      <c r="I12" s="13"/>
      <c r="U12" s="13"/>
      <c r="W12" s="13"/>
      <c r="X12" s="13"/>
      <c r="Y12" s="13"/>
    </row>
    <row r="13" spans="1:35" x14ac:dyDescent="0.25">
      <c r="F13" s="13"/>
      <c r="H13" s="13"/>
      <c r="I13" s="13"/>
      <c r="J13" s="13"/>
      <c r="K13" s="13"/>
      <c r="U13" s="13"/>
      <c r="W13" s="13"/>
      <c r="X13" s="13"/>
      <c r="Y13" s="13"/>
    </row>
    <row r="14" spans="1:35" x14ac:dyDescent="0.25">
      <c r="F14" s="13"/>
      <c r="H14" s="13"/>
      <c r="I14" s="13"/>
      <c r="U14" s="13"/>
      <c r="W14" s="13"/>
      <c r="X14" s="13"/>
      <c r="Y14" s="13"/>
    </row>
    <row r="15" spans="1:35" x14ac:dyDescent="0.25">
      <c r="F15" s="13"/>
      <c r="H15" s="13"/>
      <c r="I15" s="13"/>
      <c r="J15" s="13"/>
      <c r="K15" s="13"/>
      <c r="U15" s="13"/>
      <c r="W15" s="13"/>
      <c r="X15" s="13"/>
      <c r="Y15" s="13"/>
    </row>
    <row r="16" spans="1:35" x14ac:dyDescent="0.25">
      <c r="F16" s="13"/>
      <c r="H16" s="13"/>
      <c r="I16" s="13"/>
      <c r="U16" s="13"/>
      <c r="W16" s="13"/>
      <c r="X16" s="13"/>
      <c r="Y16" s="13"/>
    </row>
    <row r="17" spans="6:25" x14ac:dyDescent="0.25">
      <c r="F17" s="13"/>
      <c r="H17" s="13"/>
      <c r="I17" s="13"/>
      <c r="J17" s="13"/>
      <c r="K17" s="13"/>
      <c r="L17" s="13"/>
      <c r="U17" s="13"/>
      <c r="W17" s="13"/>
      <c r="X17" s="13"/>
      <c r="Y17" s="13"/>
    </row>
    <row r="18" spans="6:25" x14ac:dyDescent="0.25">
      <c r="F18" s="13"/>
      <c r="H18" s="13"/>
      <c r="I18" s="13"/>
      <c r="U18" s="13"/>
      <c r="W18" s="13"/>
      <c r="X18" s="13"/>
      <c r="Y18" s="13"/>
    </row>
    <row r="19" spans="6:25" x14ac:dyDescent="0.25">
      <c r="F19" s="13"/>
      <c r="H19" s="13"/>
      <c r="I19" s="13"/>
      <c r="U19" s="13"/>
      <c r="W19" s="13"/>
      <c r="Y19" s="13"/>
    </row>
    <row r="20" spans="6:25" x14ac:dyDescent="0.25">
      <c r="F20" s="13"/>
      <c r="H20" s="13"/>
      <c r="I20" s="13"/>
      <c r="J20" s="13"/>
      <c r="K20" s="13"/>
      <c r="U20" s="13"/>
      <c r="W20" s="13"/>
      <c r="X20" s="13"/>
      <c r="Y20" s="13"/>
    </row>
    <row r="21" spans="6:25" x14ac:dyDescent="0.25">
      <c r="F21" s="13"/>
      <c r="H21" s="13"/>
      <c r="I21" s="13"/>
      <c r="U21" s="13"/>
      <c r="W21" s="13"/>
      <c r="X21" s="13"/>
      <c r="Y21" s="13"/>
    </row>
    <row r="22" spans="6:25" x14ac:dyDescent="0.25">
      <c r="F22" s="13"/>
      <c r="H22" s="13"/>
      <c r="I22" s="13"/>
      <c r="U22" s="13"/>
      <c r="W22" s="13"/>
      <c r="Y22" s="13"/>
    </row>
    <row r="23" spans="6:25" x14ac:dyDescent="0.25">
      <c r="F23" s="13"/>
      <c r="H23" s="13"/>
      <c r="I23" s="13"/>
      <c r="J23" s="13"/>
      <c r="U23" s="13"/>
      <c r="W23" s="13"/>
      <c r="X23" s="13"/>
      <c r="Y23" s="13"/>
    </row>
    <row r="24" spans="6:25" x14ac:dyDescent="0.25">
      <c r="F24" s="13"/>
      <c r="H24" s="13"/>
      <c r="I24" s="13"/>
      <c r="U24" s="13"/>
      <c r="W24" s="13"/>
      <c r="Y24" s="13"/>
    </row>
    <row r="25" spans="6:25" x14ac:dyDescent="0.25">
      <c r="F25" s="13"/>
      <c r="H25" s="13"/>
      <c r="I25" s="13"/>
      <c r="J25" s="13"/>
      <c r="U25" s="13"/>
      <c r="W25" s="13"/>
      <c r="X25" s="13"/>
      <c r="Y25" s="13"/>
    </row>
    <row r="26" spans="6:25" x14ac:dyDescent="0.25">
      <c r="F26" s="13"/>
      <c r="H26" s="13"/>
      <c r="I26" s="13"/>
      <c r="U26" s="13"/>
      <c r="W26" s="13"/>
      <c r="X26" s="13"/>
      <c r="Y26" s="13"/>
    </row>
    <row r="27" spans="6:25" x14ac:dyDescent="0.25">
      <c r="F27" s="13"/>
      <c r="H27" s="13"/>
      <c r="I27" s="13"/>
      <c r="U27" s="13"/>
      <c r="W27" s="13"/>
      <c r="X27" s="13"/>
      <c r="Y27" s="13"/>
    </row>
    <row r="28" spans="6:25" x14ac:dyDescent="0.25">
      <c r="F28" s="13"/>
      <c r="H28" s="13"/>
      <c r="I28" s="13"/>
      <c r="J28" s="13"/>
      <c r="K28" s="13"/>
      <c r="U28" s="13"/>
      <c r="W28" s="13"/>
      <c r="X28" s="13"/>
      <c r="Y28" s="13"/>
    </row>
    <row r="29" spans="6:25" x14ac:dyDescent="0.25">
      <c r="F29" s="13"/>
      <c r="H29" s="13"/>
      <c r="I29" s="13"/>
      <c r="J29" s="13"/>
      <c r="U29" s="13"/>
      <c r="W29" s="13"/>
      <c r="Y29" s="13"/>
    </row>
    <row r="30" spans="6:25" x14ac:dyDescent="0.25">
      <c r="F30" s="13"/>
      <c r="H30" s="13"/>
      <c r="U30" s="13"/>
      <c r="W30" s="13"/>
      <c r="X30" s="13"/>
      <c r="Y30" s="13"/>
    </row>
    <row r="31" spans="6:25" x14ac:dyDescent="0.25">
      <c r="F31" s="13"/>
      <c r="H31" s="13"/>
      <c r="I31" s="13"/>
      <c r="U31" s="13"/>
      <c r="W31" s="13"/>
      <c r="Y31" s="13"/>
    </row>
    <row r="32" spans="6:25" x14ac:dyDescent="0.25">
      <c r="F32" s="13"/>
      <c r="H32" s="13"/>
      <c r="I32" s="13"/>
      <c r="U32" s="13"/>
      <c r="W32" s="13"/>
      <c r="X32" s="13"/>
      <c r="Y32" s="13"/>
    </row>
    <row r="33" spans="6:25" x14ac:dyDescent="0.25">
      <c r="F33" s="13"/>
      <c r="H33" s="13"/>
      <c r="I33" s="13"/>
      <c r="U33" s="13"/>
      <c r="W33" s="13"/>
      <c r="X33" s="13"/>
      <c r="Y33" s="13"/>
    </row>
    <row r="34" spans="6:25" x14ac:dyDescent="0.25">
      <c r="F34" s="13"/>
      <c r="H34" s="13"/>
      <c r="I34" s="13"/>
      <c r="J34" s="13"/>
      <c r="K34" s="13"/>
      <c r="U34" s="13"/>
      <c r="W34" s="13"/>
      <c r="X34" s="13"/>
      <c r="Y34" s="13"/>
    </row>
    <row r="35" spans="6:25" x14ac:dyDescent="0.25">
      <c r="F35" s="13"/>
      <c r="H35" s="13"/>
      <c r="I35" s="13"/>
      <c r="J35" s="13"/>
      <c r="K35" s="13"/>
      <c r="U35" s="13"/>
      <c r="W35" s="13"/>
      <c r="X35" s="13"/>
      <c r="Y35" s="13"/>
    </row>
    <row r="36" spans="6:25" x14ac:dyDescent="0.25">
      <c r="F36" s="13"/>
      <c r="H36" s="13"/>
      <c r="I36" s="13"/>
      <c r="J36" s="13"/>
      <c r="U36" s="13"/>
      <c r="W36" s="13"/>
      <c r="X36" s="13"/>
      <c r="Y36" s="13"/>
    </row>
    <row r="37" spans="6:25" x14ac:dyDescent="0.25">
      <c r="F37" s="13"/>
      <c r="H37" s="13"/>
      <c r="I37" s="13"/>
      <c r="U37" s="13"/>
      <c r="W37" s="13"/>
      <c r="X37" s="13"/>
      <c r="Y37" s="13"/>
    </row>
    <row r="38" spans="6:25" x14ac:dyDescent="0.25">
      <c r="F38" s="13"/>
      <c r="H38" s="13"/>
      <c r="I38" s="13"/>
      <c r="U38" s="13"/>
      <c r="W38" s="13"/>
      <c r="X38" s="13"/>
      <c r="Y38" s="13"/>
    </row>
    <row r="39" spans="6:25" x14ac:dyDescent="0.25">
      <c r="F39" s="13"/>
      <c r="H39" s="13"/>
      <c r="I39" s="13"/>
      <c r="J39" s="13"/>
      <c r="U39" s="13"/>
      <c r="W39" s="13"/>
      <c r="X39" s="13"/>
      <c r="Y39" s="13"/>
    </row>
    <row r="40" spans="6:25" x14ac:dyDescent="0.25">
      <c r="F40" s="13"/>
      <c r="H40" s="13"/>
      <c r="I40" s="13"/>
      <c r="J40" s="13"/>
      <c r="U40" s="13"/>
      <c r="W40" s="13"/>
      <c r="X40" s="13"/>
      <c r="Y40" s="13"/>
    </row>
    <row r="41" spans="6:25" x14ac:dyDescent="0.25">
      <c r="F41" s="13"/>
      <c r="H41" s="13"/>
      <c r="I41" s="13"/>
      <c r="U41" s="13"/>
      <c r="X41" s="13"/>
      <c r="Y41" s="13"/>
    </row>
    <row r="42" spans="6:25" x14ac:dyDescent="0.25">
      <c r="F42" s="13"/>
      <c r="H42" s="13"/>
      <c r="I42" s="13"/>
      <c r="U42" s="13"/>
      <c r="W42" s="13"/>
      <c r="X42" s="13"/>
      <c r="Y42" s="13"/>
    </row>
    <row r="43" spans="6:25" x14ac:dyDescent="0.25">
      <c r="F43" s="13"/>
      <c r="H43" s="13"/>
      <c r="I43" s="13"/>
      <c r="U43" s="13"/>
      <c r="W43" s="13"/>
      <c r="X43" s="13"/>
      <c r="Y43" s="13"/>
    </row>
    <row r="44" spans="6:25" x14ac:dyDescent="0.25">
      <c r="F44" s="13"/>
      <c r="H44" s="13"/>
      <c r="I44" s="13"/>
      <c r="J44" s="13"/>
      <c r="U44" s="13"/>
      <c r="W44" s="13"/>
      <c r="X44" s="13"/>
      <c r="Y44" s="13"/>
    </row>
    <row r="45" spans="6:25" x14ac:dyDescent="0.25">
      <c r="F45" s="13"/>
      <c r="H45" s="13"/>
      <c r="I45" s="13"/>
      <c r="U45" s="13"/>
      <c r="W45" s="13"/>
      <c r="Y45" s="13"/>
    </row>
    <row r="46" spans="6:25" x14ac:dyDescent="0.25">
      <c r="F46" s="13"/>
      <c r="H46" s="13"/>
      <c r="I46" s="13"/>
      <c r="J46" s="13"/>
      <c r="U46" s="13"/>
      <c r="W46" s="13"/>
      <c r="X46" s="13"/>
      <c r="Y46" s="13"/>
    </row>
    <row r="47" spans="6:25" x14ac:dyDescent="0.25">
      <c r="F47" s="13"/>
      <c r="H47" s="13"/>
      <c r="I47" s="13"/>
      <c r="J47" s="13"/>
      <c r="U47" s="13"/>
      <c r="W47" s="13"/>
      <c r="X47" s="13"/>
      <c r="Y47" s="13"/>
    </row>
    <row r="48" spans="6:25" x14ac:dyDescent="0.25">
      <c r="F48" s="13"/>
      <c r="H48" s="13"/>
      <c r="I48" s="13"/>
      <c r="J48" s="13"/>
      <c r="U48" s="13"/>
      <c r="W48" s="13"/>
      <c r="X48" s="13"/>
      <c r="Y48" s="13"/>
    </row>
    <row r="49" spans="6:25" x14ac:dyDescent="0.25">
      <c r="F49" s="13"/>
      <c r="H49" s="13"/>
      <c r="I49" s="13"/>
      <c r="J49" s="13"/>
      <c r="U49" s="13"/>
      <c r="W49" s="13"/>
      <c r="Y49" s="13"/>
    </row>
    <row r="50" spans="6:25" x14ac:dyDescent="0.25">
      <c r="F50" s="13"/>
      <c r="H50" s="13"/>
      <c r="I50" s="13"/>
      <c r="U50" s="13"/>
      <c r="W50" s="13"/>
      <c r="X50" s="13"/>
      <c r="Y50" s="13"/>
    </row>
    <row r="51" spans="6:25" x14ac:dyDescent="0.25">
      <c r="F51" s="13"/>
      <c r="H51" s="13"/>
      <c r="I51" s="13"/>
      <c r="U51" s="13"/>
      <c r="W51" s="13"/>
      <c r="X51" s="13"/>
      <c r="Y51" s="13"/>
    </row>
    <row r="52" spans="6:25" x14ac:dyDescent="0.25">
      <c r="F52" s="13"/>
      <c r="H52" s="13"/>
      <c r="I52" s="13"/>
      <c r="U52" s="13"/>
      <c r="W52" s="13"/>
      <c r="X52" s="13"/>
      <c r="Y52" s="13"/>
    </row>
    <row r="53" spans="6:25" x14ac:dyDescent="0.25">
      <c r="F53" s="13"/>
      <c r="H53" s="13"/>
      <c r="I53" s="13"/>
      <c r="J53" s="13"/>
      <c r="K53" s="13"/>
      <c r="L53" s="13"/>
      <c r="U53" s="13"/>
      <c r="W53" s="13"/>
      <c r="X53" s="13"/>
      <c r="Y53" s="13"/>
    </row>
    <row r="54" spans="6:25" x14ac:dyDescent="0.25">
      <c r="F54" s="13"/>
      <c r="H54" s="13"/>
      <c r="I54" s="13"/>
      <c r="J54" s="13"/>
      <c r="U54" s="13"/>
      <c r="W54" s="13"/>
      <c r="X54" s="13"/>
      <c r="Y54" s="13"/>
    </row>
    <row r="55" spans="6:25" x14ac:dyDescent="0.25">
      <c r="F55" s="13"/>
      <c r="H55" s="13"/>
      <c r="I55" s="13"/>
      <c r="J55" s="13"/>
      <c r="U55" s="13"/>
      <c r="W55" s="13"/>
      <c r="X55" s="13"/>
      <c r="Y55" s="13"/>
    </row>
    <row r="56" spans="6:25" x14ac:dyDescent="0.25">
      <c r="F56" s="13"/>
      <c r="H56" s="13"/>
      <c r="I56" s="13"/>
      <c r="J56" s="13"/>
      <c r="U56" s="13"/>
      <c r="W56" s="13"/>
      <c r="X56" s="13"/>
      <c r="Y56" s="13"/>
    </row>
    <row r="57" spans="6:25" x14ac:dyDescent="0.25">
      <c r="F57" s="13"/>
      <c r="H57" s="13"/>
      <c r="I57" s="13"/>
      <c r="U57" s="13"/>
      <c r="W57" s="13"/>
      <c r="X57" s="13"/>
      <c r="Y57" s="13"/>
    </row>
    <row r="58" spans="6:25" x14ac:dyDescent="0.25">
      <c r="F58" s="13"/>
      <c r="H58" s="13"/>
      <c r="I58" s="13"/>
      <c r="J58" s="13"/>
      <c r="U58" s="13"/>
      <c r="W58" s="13"/>
      <c r="X58" s="13"/>
      <c r="Y58" s="13"/>
    </row>
    <row r="59" spans="6:25" x14ac:dyDescent="0.25">
      <c r="F59" s="13"/>
      <c r="H59" s="13"/>
      <c r="I59" s="13"/>
      <c r="U59" s="13"/>
      <c r="W59" s="13"/>
      <c r="Y59" s="13"/>
    </row>
    <row r="60" spans="6:25" x14ac:dyDescent="0.25">
      <c r="F60" s="13"/>
      <c r="H60" s="13"/>
      <c r="I60" s="13"/>
      <c r="J60" s="13"/>
      <c r="U60" s="13"/>
      <c r="W60" s="13"/>
      <c r="X60" s="13"/>
      <c r="Y60" s="13"/>
    </row>
    <row r="61" spans="6:25" x14ac:dyDescent="0.25">
      <c r="F61" s="13"/>
      <c r="H61" s="13"/>
      <c r="I61" s="13"/>
      <c r="J61" s="13"/>
      <c r="U61" s="13"/>
      <c r="W61" s="13"/>
      <c r="X61" s="13"/>
      <c r="Y61" s="13"/>
    </row>
    <row r="62" spans="6:25" x14ac:dyDescent="0.25">
      <c r="F62" s="13"/>
      <c r="H62" s="13"/>
      <c r="I62" s="13"/>
      <c r="U62" s="13"/>
      <c r="W62" s="13"/>
      <c r="X62" s="13"/>
      <c r="Y62" s="13"/>
    </row>
    <row r="63" spans="6:25" x14ac:dyDescent="0.25">
      <c r="F63" s="13"/>
      <c r="H63" s="13"/>
      <c r="I63" s="13"/>
      <c r="J63" s="13"/>
      <c r="U63" s="13"/>
      <c r="W63" s="13"/>
      <c r="X63" s="13"/>
      <c r="Y63" s="13"/>
    </row>
    <row r="64" spans="6:25" x14ac:dyDescent="0.25">
      <c r="F64" s="13"/>
      <c r="H64" s="13"/>
      <c r="I64" s="13"/>
      <c r="U64" s="13"/>
      <c r="W64" s="13"/>
      <c r="X64" s="13"/>
      <c r="Y64" s="13"/>
    </row>
    <row r="65" spans="6:25" x14ac:dyDescent="0.25">
      <c r="F65" s="13"/>
      <c r="H65" s="13"/>
      <c r="I65" s="13"/>
      <c r="J65" s="13"/>
      <c r="K65" s="13"/>
      <c r="U65" s="13"/>
      <c r="W65" s="13"/>
      <c r="X65" s="13"/>
      <c r="Y65" s="13"/>
    </row>
    <row r="66" spans="6:25" x14ac:dyDescent="0.25">
      <c r="F66" s="13"/>
      <c r="H66" s="13"/>
      <c r="I66" s="13"/>
      <c r="U66" s="13"/>
      <c r="W66" s="13"/>
      <c r="Y66" s="13"/>
    </row>
    <row r="67" spans="6:25" x14ac:dyDescent="0.25">
      <c r="F67" s="13"/>
      <c r="H67" s="13"/>
      <c r="I67" s="13"/>
      <c r="U67" s="13"/>
      <c r="W67" s="13"/>
      <c r="X67" s="13"/>
      <c r="Y67" s="13"/>
    </row>
    <row r="68" spans="6:25" x14ac:dyDescent="0.25">
      <c r="F68" s="13"/>
      <c r="H68" s="13"/>
      <c r="I68" s="13"/>
      <c r="J68" s="13"/>
      <c r="U68" s="13"/>
      <c r="W68" s="13"/>
      <c r="X68" s="13"/>
      <c r="Y68" s="13"/>
    </row>
    <row r="69" spans="6:25" x14ac:dyDescent="0.25">
      <c r="F69" s="13"/>
      <c r="H69" s="13"/>
      <c r="I69" s="13"/>
      <c r="J69" s="13"/>
      <c r="U69" s="13"/>
      <c r="W69" s="13"/>
      <c r="X69" s="13"/>
      <c r="Y69" s="13"/>
    </row>
    <row r="70" spans="6:25" x14ac:dyDescent="0.25">
      <c r="F70" s="13"/>
      <c r="H70" s="13"/>
      <c r="I70" s="13"/>
      <c r="U70" s="13"/>
      <c r="W70" s="13"/>
      <c r="X70" s="13"/>
      <c r="Y70" s="13"/>
    </row>
    <row r="71" spans="6:25" x14ac:dyDescent="0.25">
      <c r="F71" s="13"/>
      <c r="H71" s="13"/>
      <c r="I71" s="13"/>
      <c r="U71" s="13"/>
      <c r="W71" s="13"/>
      <c r="X71" s="13"/>
      <c r="Y71" s="13"/>
    </row>
    <row r="72" spans="6:25" x14ac:dyDescent="0.25">
      <c r="F72" s="13"/>
      <c r="H72" s="13"/>
      <c r="I72" s="13"/>
      <c r="U72" s="13"/>
      <c r="W72" s="13"/>
      <c r="X72" s="13"/>
      <c r="Y72" s="13"/>
    </row>
    <row r="73" spans="6:25" x14ac:dyDescent="0.25">
      <c r="F73" s="13"/>
      <c r="H73" s="13"/>
      <c r="I73" s="13"/>
      <c r="J73" s="13"/>
      <c r="U73" s="13"/>
      <c r="W73" s="13"/>
      <c r="X73" s="13"/>
      <c r="Y73" s="13"/>
    </row>
    <row r="74" spans="6:25" x14ac:dyDescent="0.25">
      <c r="F74" s="13"/>
      <c r="H74" s="13"/>
      <c r="I74" s="13"/>
      <c r="J74" s="13"/>
      <c r="U74" s="13"/>
      <c r="W74" s="13"/>
      <c r="X74" s="13"/>
      <c r="Y74" s="13"/>
    </row>
    <row r="75" spans="6:25" x14ac:dyDescent="0.25">
      <c r="F75" s="13"/>
      <c r="H75" s="13"/>
      <c r="I75" s="13"/>
      <c r="U75" s="13"/>
      <c r="W75" s="13"/>
      <c r="X75" s="13"/>
      <c r="Y75" s="13"/>
    </row>
    <row r="76" spans="6:25" x14ac:dyDescent="0.25">
      <c r="F76" s="13"/>
      <c r="H76" s="13"/>
      <c r="I76" s="13"/>
      <c r="J76" s="13"/>
      <c r="U76" s="13"/>
      <c r="W76" s="13"/>
      <c r="X76" s="13"/>
      <c r="Y76" s="13"/>
    </row>
    <row r="77" spans="6:25" x14ac:dyDescent="0.25">
      <c r="F77" s="13"/>
      <c r="H77" s="13"/>
      <c r="I77" s="13"/>
      <c r="J77" s="13"/>
      <c r="U77" s="13"/>
      <c r="W77" s="13"/>
      <c r="X77" s="13"/>
      <c r="Y77" s="13"/>
    </row>
    <row r="78" spans="6:25" x14ac:dyDescent="0.25">
      <c r="F78" s="13"/>
      <c r="H78" s="13"/>
      <c r="I78" s="13"/>
      <c r="U78" s="13"/>
      <c r="W78" s="13"/>
      <c r="X78" s="13"/>
      <c r="Y78" s="13"/>
    </row>
    <row r="79" spans="6:25" x14ac:dyDescent="0.25">
      <c r="F79" s="13"/>
      <c r="H79" s="13"/>
      <c r="I79" s="13"/>
      <c r="J79" s="13"/>
      <c r="U79" s="13"/>
      <c r="W79" s="13"/>
      <c r="X79" s="13"/>
      <c r="Y79" s="13"/>
    </row>
    <row r="80" spans="6:25" x14ac:dyDescent="0.25">
      <c r="F80" s="13"/>
      <c r="H80" s="13"/>
      <c r="I80" s="13"/>
      <c r="J80" s="13"/>
      <c r="K80" s="13"/>
      <c r="U80" s="13"/>
      <c r="W80" s="13"/>
      <c r="X80" s="13"/>
      <c r="Y80" s="13"/>
    </row>
    <row r="81" spans="6:25" x14ac:dyDescent="0.25">
      <c r="F81" s="13"/>
      <c r="H81" s="13"/>
      <c r="I81" s="13"/>
      <c r="J81" s="13"/>
      <c r="K81" s="13"/>
      <c r="L81" s="13"/>
      <c r="Q81" s="13"/>
      <c r="U81" s="13"/>
      <c r="W81" s="13"/>
      <c r="X81" s="13"/>
      <c r="Y81" s="13"/>
    </row>
    <row r="82" spans="6:25" x14ac:dyDescent="0.25">
      <c r="F82" s="13"/>
      <c r="H82" s="13"/>
      <c r="I82" s="13"/>
      <c r="U82" s="13"/>
      <c r="W82" s="13"/>
      <c r="X82" s="13"/>
      <c r="Y82" s="13"/>
    </row>
    <row r="83" spans="6:25" x14ac:dyDescent="0.25">
      <c r="F83" s="13"/>
      <c r="H83" s="13"/>
      <c r="I83" s="13"/>
      <c r="J83" s="13"/>
      <c r="U83" s="13"/>
      <c r="W83" s="13"/>
      <c r="X83" s="13"/>
      <c r="Y83" s="13"/>
    </row>
    <row r="84" spans="6:25" x14ac:dyDescent="0.25">
      <c r="F84" s="13"/>
      <c r="H84" s="13"/>
      <c r="I84" s="13"/>
      <c r="U84" s="13"/>
      <c r="W84" s="13"/>
      <c r="X84" s="13"/>
      <c r="Y84" s="13"/>
    </row>
    <row r="85" spans="6:25" x14ac:dyDescent="0.25">
      <c r="F85" s="13"/>
      <c r="H85" s="13"/>
      <c r="I85" s="13"/>
      <c r="J85" s="13"/>
      <c r="K85" s="13"/>
      <c r="L85" s="13"/>
      <c r="U85" s="13"/>
      <c r="W85" s="13"/>
      <c r="X85" s="13"/>
      <c r="Y85" s="13"/>
    </row>
    <row r="86" spans="6:25" x14ac:dyDescent="0.25">
      <c r="F86" s="13"/>
      <c r="H86" s="13"/>
      <c r="I86" s="13"/>
      <c r="J86" s="13"/>
      <c r="U86" s="13"/>
      <c r="W86" s="13"/>
      <c r="X86" s="13"/>
      <c r="Y86" s="13"/>
    </row>
    <row r="87" spans="6:25" x14ac:dyDescent="0.25">
      <c r="F87" s="13"/>
      <c r="H87" s="13"/>
      <c r="I87" s="13"/>
      <c r="J87" s="13"/>
      <c r="K87" s="13"/>
      <c r="U87" s="13"/>
      <c r="W87" s="13"/>
      <c r="X87" s="13"/>
      <c r="Y87" s="13"/>
    </row>
    <row r="88" spans="6:25" x14ac:dyDescent="0.25">
      <c r="F88" s="13"/>
      <c r="H88" s="13"/>
      <c r="I88" s="13"/>
      <c r="J88" s="13"/>
      <c r="U88" s="13"/>
      <c r="W88" s="13"/>
      <c r="X88" s="13"/>
      <c r="Y88" s="13"/>
    </row>
    <row r="89" spans="6:25" x14ac:dyDescent="0.25">
      <c r="F89" s="13"/>
      <c r="H89" s="13"/>
      <c r="I89" s="13"/>
      <c r="U89" s="13"/>
      <c r="W89" s="13"/>
      <c r="X89" s="13"/>
      <c r="Y89" s="13"/>
    </row>
    <row r="90" spans="6:25" x14ac:dyDescent="0.25">
      <c r="F90" s="13"/>
      <c r="H90" s="13"/>
      <c r="I90" s="13"/>
      <c r="U90" s="13"/>
      <c r="W90" s="13"/>
      <c r="X90" s="13"/>
      <c r="Y90" s="13"/>
    </row>
    <row r="91" spans="6:25" x14ac:dyDescent="0.25">
      <c r="F91" s="13"/>
      <c r="H91" s="13"/>
      <c r="I91" s="13"/>
      <c r="J91" s="13"/>
      <c r="U91" s="13"/>
      <c r="W91" s="13"/>
      <c r="X91" s="13"/>
      <c r="Y91" s="13"/>
    </row>
    <row r="92" spans="6:25" x14ac:dyDescent="0.25">
      <c r="F92" s="13"/>
      <c r="H92" s="13"/>
      <c r="I92" s="13"/>
      <c r="J92" s="13"/>
      <c r="K92" s="13"/>
      <c r="U92" s="13"/>
      <c r="W92" s="13"/>
      <c r="X92" s="13"/>
      <c r="Y92" s="13"/>
    </row>
    <row r="93" spans="6:25" x14ac:dyDescent="0.25">
      <c r="F93" s="13"/>
      <c r="H93" s="13"/>
      <c r="I93" s="13"/>
      <c r="U93" s="13"/>
      <c r="W93" s="13"/>
      <c r="Y93" s="13"/>
    </row>
    <row r="94" spans="6:25" x14ac:dyDescent="0.25">
      <c r="F94" s="13"/>
      <c r="H94" s="13"/>
      <c r="I94" s="13"/>
      <c r="U94" s="13"/>
      <c r="W94" s="13"/>
      <c r="X94" s="13"/>
      <c r="Y94" s="13"/>
    </row>
    <row r="95" spans="6:25" x14ac:dyDescent="0.25">
      <c r="F95" s="13"/>
      <c r="H95" s="13"/>
      <c r="I95" s="13"/>
      <c r="U95" s="13"/>
      <c r="W95" s="13"/>
      <c r="X95" s="13"/>
      <c r="Y95" s="13"/>
    </row>
    <row r="96" spans="6:25" x14ac:dyDescent="0.25">
      <c r="F96" s="13"/>
      <c r="H96" s="13"/>
      <c r="I96" s="13"/>
      <c r="U96" s="13"/>
      <c r="X96" s="13"/>
      <c r="Y96" s="13"/>
    </row>
    <row r="97" spans="6:25" x14ac:dyDescent="0.25">
      <c r="F97" s="13"/>
      <c r="H97" s="13"/>
      <c r="I97" s="13"/>
      <c r="U97" s="13"/>
      <c r="X97" s="13"/>
      <c r="Y97" s="13"/>
    </row>
    <row r="98" spans="6:25" x14ac:dyDescent="0.25">
      <c r="F98" s="13"/>
      <c r="H98" s="13"/>
      <c r="I98" s="13"/>
      <c r="U98" s="13"/>
      <c r="X98" s="13"/>
      <c r="Y98" s="13"/>
    </row>
    <row r="99" spans="6:25" x14ac:dyDescent="0.25">
      <c r="F99" s="13"/>
      <c r="H99" s="13"/>
      <c r="I99" s="13"/>
      <c r="U99" s="13"/>
      <c r="X99" s="13"/>
      <c r="Y99" s="13"/>
    </row>
    <row r="100" spans="6:25" x14ac:dyDescent="0.25">
      <c r="F100" s="13"/>
      <c r="H100" s="13"/>
      <c r="I100" s="13"/>
      <c r="U100" s="13"/>
      <c r="X100" s="13"/>
      <c r="Y100" s="13"/>
    </row>
    <row r="101" spans="6:25" x14ac:dyDescent="0.25">
      <c r="F101" s="13"/>
      <c r="H101" s="13"/>
      <c r="I101" s="13"/>
      <c r="P101" s="13"/>
      <c r="Q101" s="13"/>
      <c r="U101" s="13"/>
      <c r="X101" s="13"/>
      <c r="Y101" s="13"/>
    </row>
    <row r="102" spans="6:25" x14ac:dyDescent="0.25">
      <c r="F102" s="13"/>
      <c r="H102" s="13"/>
      <c r="I102" s="13"/>
      <c r="J102" s="13"/>
      <c r="U102" s="13"/>
      <c r="X102" s="13"/>
      <c r="Y102" s="13"/>
    </row>
    <row r="103" spans="6:25" x14ac:dyDescent="0.25">
      <c r="F103" s="13"/>
      <c r="H103" s="13"/>
      <c r="I103" s="13"/>
      <c r="U103" s="13"/>
      <c r="X103" s="13"/>
      <c r="Y103" s="13"/>
    </row>
    <row r="104" spans="6:25" x14ac:dyDescent="0.25">
      <c r="F104" s="13"/>
      <c r="H104" s="13"/>
      <c r="I104" s="13"/>
      <c r="J104" s="13"/>
      <c r="S104" s="13"/>
      <c r="U104" s="13"/>
      <c r="X104" s="13"/>
      <c r="Y104" s="13"/>
    </row>
    <row r="105" spans="6:25" x14ac:dyDescent="0.25">
      <c r="F105" s="13"/>
      <c r="H105" s="13"/>
      <c r="I105" s="13"/>
      <c r="U105" s="13"/>
      <c r="X105" s="13"/>
      <c r="Y105" s="13"/>
    </row>
    <row r="106" spans="6:25" x14ac:dyDescent="0.25">
      <c r="F106" s="13"/>
      <c r="H106" s="13"/>
      <c r="I106" s="13"/>
      <c r="J106" s="13"/>
      <c r="U106" s="13"/>
      <c r="X106" s="13"/>
      <c r="Y106" s="13"/>
    </row>
    <row r="107" spans="6:25" x14ac:dyDescent="0.25">
      <c r="F107" s="13"/>
      <c r="H107" s="13"/>
      <c r="I107" s="13"/>
      <c r="U107" s="13"/>
      <c r="Y107" s="13"/>
    </row>
    <row r="108" spans="6:25" x14ac:dyDescent="0.25">
      <c r="F108" s="13"/>
      <c r="H108" s="13"/>
      <c r="I108" s="13"/>
      <c r="U108" s="13"/>
      <c r="X108" s="13"/>
      <c r="Y108" s="13"/>
    </row>
    <row r="109" spans="6:25" x14ac:dyDescent="0.25">
      <c r="F109" s="13"/>
      <c r="H109" s="13"/>
      <c r="I109" s="13"/>
      <c r="J109" s="13"/>
      <c r="K109" s="13"/>
      <c r="L109" s="13"/>
      <c r="U109" s="13"/>
      <c r="Y109" s="13"/>
    </row>
    <row r="110" spans="6:25" x14ac:dyDescent="0.25">
      <c r="F110" s="13"/>
      <c r="H110" s="13"/>
      <c r="I110" s="13"/>
      <c r="U110" s="13"/>
      <c r="X110" s="13"/>
      <c r="Y110" s="13"/>
    </row>
    <row r="111" spans="6:25" x14ac:dyDescent="0.25">
      <c r="F111" s="13"/>
      <c r="H111" s="13"/>
      <c r="I111" s="13"/>
      <c r="J111" s="13"/>
      <c r="K111" s="13"/>
      <c r="U111" s="13"/>
      <c r="Y111" s="13"/>
    </row>
    <row r="112" spans="6:25" x14ac:dyDescent="0.25">
      <c r="F112" s="13"/>
      <c r="H112" s="13"/>
      <c r="I112" s="13"/>
      <c r="J112" s="13"/>
      <c r="K112" s="13"/>
      <c r="U112" s="13"/>
      <c r="Y112" s="13"/>
    </row>
    <row r="113" spans="6:25" x14ac:dyDescent="0.25">
      <c r="F113" s="13"/>
      <c r="H113" s="13"/>
      <c r="I113" s="13"/>
      <c r="U113" s="13"/>
      <c r="Y113" s="13"/>
    </row>
    <row r="114" spans="6:25" x14ac:dyDescent="0.25">
      <c r="F114" s="13"/>
      <c r="H114" s="13"/>
      <c r="I114" s="13"/>
      <c r="P114" s="13"/>
      <c r="U114" s="13"/>
      <c r="Y114" s="13"/>
    </row>
    <row r="115" spans="6:25" x14ac:dyDescent="0.25">
      <c r="F115" s="13"/>
      <c r="H115" s="13"/>
      <c r="I115" s="13"/>
      <c r="U115" s="13"/>
      <c r="Y115" s="13"/>
    </row>
    <row r="116" spans="6:25" x14ac:dyDescent="0.25">
      <c r="F116" s="13"/>
      <c r="H116" s="13"/>
      <c r="I116" s="13"/>
      <c r="J116" s="13"/>
      <c r="K116" s="13"/>
      <c r="U116" s="13"/>
      <c r="X116" s="13"/>
      <c r="Y116" s="13"/>
    </row>
    <row r="117" spans="6:25" x14ac:dyDescent="0.25">
      <c r="F117" s="13"/>
      <c r="H117" s="13"/>
      <c r="I117" s="13"/>
      <c r="U117" s="13"/>
      <c r="Y117" s="13"/>
    </row>
    <row r="118" spans="6:25" x14ac:dyDescent="0.25">
      <c r="F118" s="13"/>
      <c r="H118" s="13"/>
      <c r="I118" s="13"/>
      <c r="J118" s="13"/>
      <c r="U118" s="13"/>
      <c r="X118" s="13"/>
      <c r="Y118" s="13"/>
    </row>
    <row r="119" spans="6:25" x14ac:dyDescent="0.25">
      <c r="F119" s="13"/>
      <c r="H119" s="13"/>
      <c r="I119" s="13"/>
      <c r="U119" s="13"/>
      <c r="X119" s="13"/>
      <c r="Y119" s="13"/>
    </row>
    <row r="120" spans="6:25" x14ac:dyDescent="0.25">
      <c r="F120" s="13"/>
      <c r="H120" s="13"/>
      <c r="I120" s="13"/>
      <c r="U120" s="13"/>
      <c r="Y120" s="13"/>
    </row>
    <row r="121" spans="6:25" x14ac:dyDescent="0.25">
      <c r="F121" s="13"/>
      <c r="H121" s="13"/>
      <c r="I121" s="13"/>
      <c r="J121" s="13"/>
      <c r="K121" s="13"/>
      <c r="U121" s="13"/>
      <c r="X121" s="13"/>
      <c r="Y121" s="13"/>
    </row>
    <row r="122" spans="6:25" x14ac:dyDescent="0.25">
      <c r="F122" s="13"/>
      <c r="H122" s="13"/>
      <c r="I122" s="13"/>
      <c r="U122" s="13"/>
      <c r="Y122" s="13"/>
    </row>
    <row r="123" spans="6:25" x14ac:dyDescent="0.25">
      <c r="F123" s="13"/>
      <c r="H123" s="13"/>
      <c r="I123" s="13"/>
      <c r="U123" s="13"/>
      <c r="Y123" s="13"/>
    </row>
    <row r="124" spans="6:25" x14ac:dyDescent="0.25">
      <c r="F124" s="13"/>
      <c r="H124" s="13"/>
      <c r="I124" s="13"/>
      <c r="U124" s="13"/>
      <c r="X124" s="13"/>
      <c r="Y124" s="13"/>
    </row>
    <row r="125" spans="6:25" x14ac:dyDescent="0.25">
      <c r="F125" s="13"/>
      <c r="H125" s="13"/>
      <c r="I125" s="13"/>
      <c r="U125" s="13"/>
      <c r="X125" s="13"/>
      <c r="Y125" s="13"/>
    </row>
    <row r="126" spans="6:25" x14ac:dyDescent="0.25">
      <c r="F126" s="13"/>
      <c r="H126" s="13"/>
      <c r="I126" s="13"/>
      <c r="U126" s="13"/>
      <c r="W126" s="13"/>
      <c r="X126" s="13"/>
      <c r="Y126" s="13"/>
    </row>
    <row r="127" spans="6:25" x14ac:dyDescent="0.25">
      <c r="F127" s="13"/>
      <c r="H127" s="13"/>
      <c r="I127" s="13"/>
      <c r="U127" s="13"/>
      <c r="W127" s="13"/>
      <c r="Y127" s="13"/>
    </row>
    <row r="128" spans="6:25" x14ac:dyDescent="0.25">
      <c r="F128" s="13"/>
      <c r="H128" s="13"/>
      <c r="I128" s="13"/>
      <c r="J128" s="13"/>
      <c r="K128" s="13"/>
      <c r="U128" s="13"/>
      <c r="W128" s="13"/>
      <c r="Y128" s="13"/>
    </row>
    <row r="129" spans="6:25" x14ac:dyDescent="0.25">
      <c r="F129" s="13"/>
      <c r="H129" s="13"/>
      <c r="I129" s="13"/>
      <c r="U129" s="13"/>
      <c r="W129" s="13"/>
      <c r="X129" s="13"/>
      <c r="Y129" s="13"/>
    </row>
    <row r="130" spans="6:25" x14ac:dyDescent="0.25">
      <c r="F130" s="13"/>
      <c r="H130" s="13"/>
      <c r="I130" s="13"/>
      <c r="U130" s="13"/>
      <c r="W130" s="13"/>
      <c r="X130" s="13"/>
      <c r="Y130" s="13"/>
    </row>
    <row r="131" spans="6:25" x14ac:dyDescent="0.25">
      <c r="F131" s="13"/>
      <c r="H131" s="13"/>
      <c r="I131" s="13"/>
      <c r="J131" s="13"/>
      <c r="U131" s="13"/>
      <c r="W131" s="13"/>
      <c r="X131" s="13"/>
      <c r="Y131" s="13"/>
    </row>
    <row r="132" spans="6:25" x14ac:dyDescent="0.25">
      <c r="F132" s="13"/>
      <c r="H132" s="13"/>
      <c r="I132" s="13"/>
      <c r="U132" s="13"/>
      <c r="W132" s="13"/>
      <c r="X132" s="13"/>
      <c r="Y132" s="13"/>
    </row>
    <row r="133" spans="6:25" x14ac:dyDescent="0.25">
      <c r="F133" s="13"/>
      <c r="H133" s="13"/>
      <c r="I133" s="13"/>
      <c r="U133" s="13"/>
      <c r="W133" s="13"/>
      <c r="X133" s="13"/>
      <c r="Y133" s="13"/>
    </row>
    <row r="134" spans="6:25" x14ac:dyDescent="0.25">
      <c r="F134" s="13"/>
      <c r="H134" s="13"/>
      <c r="I134" s="13"/>
      <c r="J134" s="13"/>
      <c r="U134" s="13"/>
      <c r="W134" s="13"/>
      <c r="X134" s="13"/>
      <c r="Y134" s="13"/>
    </row>
    <row r="135" spans="6:25" x14ac:dyDescent="0.25">
      <c r="F135" s="13"/>
      <c r="H135" s="13"/>
      <c r="I135" s="13"/>
      <c r="J135" s="13"/>
      <c r="K135" s="13"/>
      <c r="L135" s="13"/>
      <c r="U135" s="13"/>
      <c r="W135" s="13"/>
      <c r="X135" s="13"/>
      <c r="Y135" s="13"/>
    </row>
    <row r="136" spans="6:25" x14ac:dyDescent="0.25">
      <c r="F136" s="13"/>
      <c r="H136" s="13"/>
      <c r="I136" s="13"/>
      <c r="J136" s="13"/>
      <c r="U136" s="13"/>
      <c r="W136" s="13"/>
      <c r="X136" s="13"/>
      <c r="Y136" s="13"/>
    </row>
    <row r="137" spans="6:25" x14ac:dyDescent="0.25">
      <c r="F137" s="13"/>
      <c r="H137" s="13"/>
      <c r="I137" s="13"/>
      <c r="J137" s="13"/>
      <c r="U137" s="13"/>
      <c r="W137" s="13"/>
      <c r="X137" s="13"/>
      <c r="Y137" s="13"/>
    </row>
    <row r="138" spans="6:25" x14ac:dyDescent="0.25">
      <c r="F138" s="13"/>
      <c r="H138" s="13"/>
      <c r="I138" s="13"/>
      <c r="U138" s="13"/>
      <c r="W138" s="13"/>
      <c r="X138" s="13"/>
      <c r="Y138" s="13"/>
    </row>
    <row r="139" spans="6:25" x14ac:dyDescent="0.25">
      <c r="F139" s="13"/>
      <c r="H139" s="13"/>
      <c r="I139" s="13"/>
      <c r="U139" s="13"/>
      <c r="W139" s="13"/>
      <c r="X139" s="13"/>
      <c r="Y139" s="13"/>
    </row>
    <row r="140" spans="6:25" x14ac:dyDescent="0.25">
      <c r="F140" s="13"/>
      <c r="H140" s="13"/>
      <c r="I140" s="13"/>
      <c r="J140" s="13"/>
      <c r="U140" s="13"/>
      <c r="W140" s="13"/>
      <c r="X140" s="13"/>
      <c r="Y140" s="13"/>
    </row>
    <row r="141" spans="6:25" x14ac:dyDescent="0.25">
      <c r="F141" s="13"/>
      <c r="H141" s="13"/>
      <c r="I141" s="13"/>
      <c r="J141" s="13"/>
      <c r="U141" s="13"/>
      <c r="W141" s="13"/>
      <c r="X141" s="13"/>
      <c r="Y141" s="13"/>
    </row>
    <row r="142" spans="6:25" x14ac:dyDescent="0.25">
      <c r="F142" s="13"/>
      <c r="H142" s="13"/>
      <c r="I142" s="13"/>
      <c r="J142" s="13"/>
      <c r="U142" s="13"/>
      <c r="W142" s="13"/>
      <c r="X142" s="13"/>
      <c r="Y142" s="13"/>
    </row>
    <row r="143" spans="6:25" x14ac:dyDescent="0.25">
      <c r="F143" s="13"/>
      <c r="H143" s="13"/>
      <c r="I143" s="13"/>
      <c r="U143" s="13"/>
      <c r="W143" s="13"/>
      <c r="X143" s="13"/>
      <c r="Y143" s="13"/>
    </row>
    <row r="144" spans="6:25" x14ac:dyDescent="0.25">
      <c r="F144" s="13"/>
      <c r="H144" s="13"/>
      <c r="I144" s="13"/>
      <c r="U144" s="13"/>
      <c r="W144" s="13"/>
      <c r="X144" s="13"/>
      <c r="Y144" s="13"/>
    </row>
    <row r="145" spans="6:25" x14ac:dyDescent="0.25">
      <c r="F145" s="13"/>
      <c r="H145" s="13"/>
      <c r="I145" s="13"/>
      <c r="U145" s="13"/>
      <c r="W145" s="13"/>
      <c r="X145" s="13"/>
      <c r="Y145" s="13"/>
    </row>
    <row r="146" spans="6:25" x14ac:dyDescent="0.25">
      <c r="F146" s="13"/>
      <c r="H146" s="13"/>
      <c r="I146" s="13"/>
      <c r="U146" s="13"/>
      <c r="W146" s="13"/>
      <c r="X146" s="13"/>
      <c r="Y146" s="13"/>
    </row>
    <row r="147" spans="6:25" x14ac:dyDescent="0.25">
      <c r="F147" s="13"/>
      <c r="H147" s="13"/>
      <c r="I147" s="13"/>
      <c r="U147" s="13"/>
      <c r="W147" s="13"/>
      <c r="X147" s="13"/>
      <c r="Y147" s="13"/>
    </row>
    <row r="148" spans="6:25" x14ac:dyDescent="0.25">
      <c r="F148" s="13"/>
      <c r="H148" s="13"/>
      <c r="I148" s="13"/>
      <c r="U148" s="13"/>
      <c r="W148" s="13"/>
      <c r="X148" s="13"/>
      <c r="Y148" s="13"/>
    </row>
    <row r="149" spans="6:25" x14ac:dyDescent="0.25">
      <c r="F149" s="13"/>
      <c r="H149" s="13"/>
      <c r="I149" s="13"/>
      <c r="U149" s="13"/>
      <c r="W149" s="13"/>
      <c r="X149" s="13"/>
      <c r="Y149" s="13"/>
    </row>
    <row r="150" spans="6:25" x14ac:dyDescent="0.25">
      <c r="F150" s="13"/>
      <c r="H150" s="13"/>
      <c r="I150" s="13"/>
      <c r="U150" s="13"/>
      <c r="W150" s="13"/>
      <c r="X150" s="13"/>
      <c r="Y150" s="13"/>
    </row>
    <row r="151" spans="6:25" x14ac:dyDescent="0.25">
      <c r="F151" s="13"/>
      <c r="H151" s="13"/>
      <c r="I151" s="13"/>
      <c r="J151" s="13"/>
      <c r="K151" s="13"/>
      <c r="U151" s="13"/>
      <c r="W151" s="13"/>
      <c r="X151" s="13"/>
      <c r="Y151" s="13"/>
    </row>
    <row r="152" spans="6:25" x14ac:dyDescent="0.25">
      <c r="F152" s="13"/>
      <c r="H152" s="13"/>
      <c r="I152" s="13"/>
      <c r="J152" s="13"/>
      <c r="U152" s="13"/>
      <c r="W152" s="13"/>
      <c r="X152" s="13"/>
      <c r="Y152" s="13"/>
    </row>
    <row r="153" spans="6:25" x14ac:dyDescent="0.25">
      <c r="F153" s="13"/>
      <c r="H153" s="13"/>
      <c r="I153" s="13"/>
      <c r="U153" s="13"/>
      <c r="W153" s="13"/>
      <c r="X153" s="13"/>
      <c r="Y153" s="13"/>
    </row>
    <row r="154" spans="6:25" x14ac:dyDescent="0.25">
      <c r="F154" s="13"/>
      <c r="H154" s="13"/>
      <c r="I154" s="13"/>
      <c r="J154" s="13"/>
      <c r="K154" s="13"/>
      <c r="U154" s="13"/>
      <c r="W154" s="13"/>
      <c r="X154" s="13"/>
      <c r="Y154" s="13"/>
    </row>
    <row r="155" spans="6:25" x14ac:dyDescent="0.25">
      <c r="F155" s="13"/>
      <c r="H155" s="13"/>
      <c r="I155" s="13"/>
      <c r="U155" s="13"/>
      <c r="W155" s="13"/>
      <c r="X155" s="13"/>
      <c r="Y155" s="13"/>
    </row>
    <row r="156" spans="6:25" x14ac:dyDescent="0.25">
      <c r="F156" s="13"/>
      <c r="H156" s="13"/>
      <c r="I156" s="13"/>
      <c r="U156" s="13"/>
      <c r="W156" s="13"/>
      <c r="X156" s="13"/>
      <c r="Y156" s="13"/>
    </row>
    <row r="157" spans="6:25" x14ac:dyDescent="0.25">
      <c r="F157" s="13"/>
      <c r="H157" s="13"/>
      <c r="I157" s="13"/>
      <c r="J157" s="13"/>
      <c r="P157" s="13"/>
      <c r="U157" s="13"/>
      <c r="W157" s="13"/>
      <c r="X157" s="13"/>
      <c r="Y157" s="13"/>
    </row>
    <row r="158" spans="6:25" x14ac:dyDescent="0.25">
      <c r="F158" s="13"/>
      <c r="H158" s="13"/>
      <c r="I158" s="13"/>
      <c r="U158" s="13"/>
      <c r="W158" s="13"/>
      <c r="X158" s="13"/>
      <c r="Y158" s="13"/>
    </row>
    <row r="159" spans="6:25" x14ac:dyDescent="0.25">
      <c r="F159" s="13"/>
      <c r="H159" s="13"/>
      <c r="I159" s="13"/>
      <c r="J159" s="13"/>
      <c r="U159" s="13"/>
      <c r="W159" s="13"/>
      <c r="X159" s="13"/>
      <c r="Y159" s="13"/>
    </row>
    <row r="160" spans="6:25" x14ac:dyDescent="0.25">
      <c r="F160" s="13"/>
      <c r="H160" s="13"/>
      <c r="I160" s="13"/>
      <c r="J160" s="13"/>
      <c r="U160" s="13"/>
      <c r="W160" s="13"/>
      <c r="X160" s="13"/>
      <c r="Y160" s="13"/>
    </row>
    <row r="161" spans="6:25" x14ac:dyDescent="0.25">
      <c r="F161" s="13"/>
      <c r="H161" s="13"/>
      <c r="I161" s="13"/>
      <c r="J161" s="13"/>
      <c r="U161" s="13"/>
      <c r="W161" s="13"/>
      <c r="X161" s="13"/>
      <c r="Y161" s="13"/>
    </row>
    <row r="162" spans="6:25" x14ac:dyDescent="0.25">
      <c r="F162" s="13"/>
      <c r="H162" s="13"/>
      <c r="I162" s="13"/>
      <c r="U162" s="13"/>
      <c r="W162" s="13"/>
      <c r="X162" s="13"/>
      <c r="Y162" s="13"/>
    </row>
    <row r="163" spans="6:25" x14ac:dyDescent="0.25">
      <c r="F163" s="13"/>
      <c r="H163" s="13"/>
      <c r="I163" s="13"/>
      <c r="J163" s="13"/>
      <c r="U163" s="13"/>
      <c r="W163" s="13"/>
      <c r="X163" s="13"/>
      <c r="Y163" s="13"/>
    </row>
    <row r="164" spans="6:25" x14ac:dyDescent="0.25">
      <c r="F164" s="13"/>
      <c r="H164" s="13"/>
      <c r="I164" s="13"/>
      <c r="J164" s="13"/>
      <c r="K164" s="13"/>
      <c r="L164" s="13"/>
      <c r="U164" s="13"/>
      <c r="W164" s="13"/>
      <c r="X164" s="13"/>
      <c r="Y164" s="13"/>
    </row>
    <row r="165" spans="6:25" x14ac:dyDescent="0.25">
      <c r="F165" s="13"/>
      <c r="H165" s="13"/>
      <c r="I165" s="13"/>
      <c r="J165" s="13"/>
      <c r="K165" s="13"/>
      <c r="L165" s="13"/>
      <c r="M165" s="13"/>
      <c r="U165" s="13"/>
      <c r="W165" s="13"/>
      <c r="X165" s="13"/>
      <c r="Y165" s="13"/>
    </row>
    <row r="166" spans="6:25" x14ac:dyDescent="0.25">
      <c r="F166" s="13"/>
      <c r="H166" s="13"/>
      <c r="I166" s="13"/>
      <c r="U166" s="13"/>
      <c r="W166" s="13"/>
      <c r="X166" s="13"/>
      <c r="Y166" s="13"/>
    </row>
    <row r="167" spans="6:25" x14ac:dyDescent="0.25">
      <c r="F167" s="13"/>
      <c r="H167" s="13"/>
      <c r="I167" s="13"/>
      <c r="J167" s="13"/>
      <c r="U167" s="13"/>
      <c r="W167" s="13"/>
      <c r="X167" s="13"/>
      <c r="Y167" s="13"/>
    </row>
    <row r="168" spans="6:25" x14ac:dyDescent="0.25">
      <c r="F168" s="13"/>
      <c r="H168" s="13"/>
      <c r="I168" s="13"/>
      <c r="U168" s="13"/>
      <c r="W168" s="13"/>
      <c r="X168" s="13"/>
      <c r="Y168" s="13"/>
    </row>
    <row r="169" spans="6:25" x14ac:dyDescent="0.25">
      <c r="F169" s="13"/>
      <c r="H169" s="13"/>
      <c r="I169" s="13"/>
      <c r="J169" s="13"/>
      <c r="U169" s="13"/>
      <c r="W169" s="13"/>
      <c r="X169" s="13"/>
      <c r="Y169" s="13"/>
    </row>
    <row r="170" spans="6:25" x14ac:dyDescent="0.25">
      <c r="F170" s="13"/>
      <c r="H170" s="13"/>
      <c r="I170" s="13"/>
      <c r="U170" s="13"/>
      <c r="W170" s="13"/>
      <c r="X170" s="13"/>
      <c r="Y170" s="13"/>
    </row>
    <row r="171" spans="6:25" x14ac:dyDescent="0.25">
      <c r="F171" s="13"/>
      <c r="H171" s="13"/>
      <c r="I171" s="13"/>
      <c r="J171" s="13"/>
      <c r="K171" s="13"/>
      <c r="U171" s="13"/>
      <c r="W171" s="13"/>
      <c r="X171" s="13"/>
      <c r="Y171" s="13"/>
    </row>
    <row r="172" spans="6:25" x14ac:dyDescent="0.25">
      <c r="F172" s="13"/>
      <c r="H172" s="13"/>
      <c r="I172" s="13"/>
      <c r="U172" s="13"/>
      <c r="W172" s="13"/>
      <c r="X172" s="13"/>
      <c r="Y172" s="13"/>
    </row>
    <row r="173" spans="6:25" x14ac:dyDescent="0.25">
      <c r="F173" s="13"/>
      <c r="H173" s="13"/>
      <c r="I173" s="13"/>
      <c r="J173" s="13"/>
      <c r="K173" s="13"/>
      <c r="U173" s="13"/>
      <c r="W173" s="13"/>
      <c r="X173" s="13"/>
      <c r="Y173" s="13"/>
    </row>
    <row r="174" spans="6:25" x14ac:dyDescent="0.25">
      <c r="F174" s="13"/>
      <c r="H174" s="13"/>
      <c r="I174" s="13"/>
      <c r="J174" s="13"/>
      <c r="U174" s="13"/>
      <c r="W174" s="13"/>
      <c r="X174" s="13"/>
      <c r="Y174" s="13"/>
    </row>
    <row r="175" spans="6:25" x14ac:dyDescent="0.25">
      <c r="F175" s="13"/>
      <c r="H175" s="13"/>
      <c r="I175" s="13"/>
      <c r="U175" s="13"/>
      <c r="W175" s="13"/>
      <c r="X175" s="13"/>
      <c r="Y175" s="13"/>
    </row>
    <row r="176" spans="6:25" x14ac:dyDescent="0.25">
      <c r="F176" s="13"/>
      <c r="H176" s="13"/>
      <c r="I176" s="13"/>
      <c r="U176" s="13"/>
      <c r="W176" s="13"/>
      <c r="X176" s="13"/>
      <c r="Y176" s="13"/>
    </row>
    <row r="177" spans="6:25" x14ac:dyDescent="0.25">
      <c r="F177" s="13"/>
      <c r="H177" s="13"/>
      <c r="I177" s="13"/>
      <c r="U177" s="13"/>
      <c r="W177" s="13"/>
      <c r="X177" s="13"/>
      <c r="Y177" s="13"/>
    </row>
    <row r="178" spans="6:25" x14ac:dyDescent="0.25">
      <c r="F178" s="13"/>
      <c r="H178" s="13"/>
      <c r="I178" s="13"/>
      <c r="J178" s="13"/>
      <c r="K178" s="13"/>
      <c r="U178" s="13"/>
      <c r="W178" s="13"/>
      <c r="X178" s="13"/>
      <c r="Y178" s="13"/>
    </row>
    <row r="179" spans="6:25" x14ac:dyDescent="0.25">
      <c r="F179" s="13"/>
      <c r="H179" s="13"/>
      <c r="I179" s="13"/>
      <c r="U179" s="13"/>
      <c r="W179" s="13"/>
      <c r="X179" s="13"/>
      <c r="Y179" s="13"/>
    </row>
    <row r="180" spans="6:25" x14ac:dyDescent="0.25">
      <c r="F180" s="13"/>
      <c r="H180" s="13"/>
      <c r="I180" s="13"/>
      <c r="J180" s="13"/>
      <c r="K180" s="13"/>
      <c r="U180" s="13"/>
      <c r="W180" s="13"/>
      <c r="X180" s="13"/>
      <c r="Y180" s="13"/>
    </row>
    <row r="181" spans="6:25" x14ac:dyDescent="0.25">
      <c r="F181" s="13"/>
      <c r="H181" s="13"/>
      <c r="I181" s="13"/>
      <c r="J181" s="13"/>
      <c r="U181" s="13"/>
      <c r="W181" s="13"/>
      <c r="X181" s="13"/>
      <c r="Y181" s="13"/>
    </row>
    <row r="182" spans="6:25" x14ac:dyDescent="0.25">
      <c r="F182" s="13"/>
      <c r="H182" s="13"/>
      <c r="I182" s="13"/>
      <c r="J182" s="13"/>
      <c r="K182" s="13"/>
      <c r="L182" s="13"/>
      <c r="U182" s="13"/>
      <c r="W182" s="13"/>
      <c r="X182" s="13"/>
      <c r="Y182" s="13"/>
    </row>
    <row r="183" spans="6:25" x14ac:dyDescent="0.25">
      <c r="F183" s="13"/>
      <c r="H183" s="13"/>
      <c r="I183" s="13"/>
      <c r="J183" s="13"/>
      <c r="K183" s="13"/>
      <c r="L183" s="13"/>
      <c r="M183" s="13"/>
      <c r="U183" s="13"/>
      <c r="W183" s="13"/>
      <c r="Y183" s="13"/>
    </row>
    <row r="184" spans="6:25" x14ac:dyDescent="0.25">
      <c r="F184" s="13"/>
      <c r="H184" s="13"/>
      <c r="I184" s="13"/>
      <c r="J184" s="13"/>
      <c r="K184" s="13"/>
      <c r="U184" s="13"/>
      <c r="W184" s="13"/>
      <c r="X184" s="13"/>
      <c r="Y184" s="13"/>
    </row>
    <row r="185" spans="6:25" x14ac:dyDescent="0.25">
      <c r="F185" s="13"/>
      <c r="H185" s="13"/>
      <c r="I185" s="13"/>
      <c r="U185" s="13"/>
      <c r="W185" s="13"/>
      <c r="X185" s="13"/>
      <c r="Y185" s="13"/>
    </row>
    <row r="186" spans="6:25" x14ac:dyDescent="0.25">
      <c r="F186" s="13"/>
      <c r="H186" s="13"/>
      <c r="I186" s="13"/>
      <c r="J186" s="13"/>
      <c r="U186" s="13"/>
      <c r="W186" s="13"/>
      <c r="X186" s="13"/>
      <c r="Y186" s="13"/>
    </row>
    <row r="187" spans="6:25" x14ac:dyDescent="0.25">
      <c r="F187" s="13"/>
      <c r="H187" s="13"/>
      <c r="U187" s="13"/>
      <c r="W187" s="13"/>
      <c r="X187" s="13"/>
      <c r="Y187" s="13"/>
    </row>
    <row r="188" spans="6:25" x14ac:dyDescent="0.25">
      <c r="F188" s="13"/>
      <c r="H188" s="13"/>
      <c r="I188" s="13"/>
      <c r="U188" s="13"/>
      <c r="W188" s="13"/>
      <c r="X188" s="13"/>
      <c r="Y188" s="13"/>
    </row>
    <row r="189" spans="6:25" x14ac:dyDescent="0.25">
      <c r="F189" s="13"/>
      <c r="H189" s="13"/>
      <c r="I189" s="13"/>
      <c r="J189" s="13"/>
      <c r="U189" s="13"/>
      <c r="W189" s="13"/>
      <c r="X189" s="13"/>
      <c r="Y189" s="13"/>
    </row>
    <row r="190" spans="6:25" x14ac:dyDescent="0.25">
      <c r="F190" s="13"/>
      <c r="H190" s="13"/>
      <c r="I190" s="13"/>
      <c r="U190" s="13"/>
      <c r="W190" s="13"/>
      <c r="X190" s="13"/>
      <c r="Y190" s="13"/>
    </row>
    <row r="191" spans="6:25" x14ac:dyDescent="0.25">
      <c r="F191" s="13"/>
      <c r="H191" s="13"/>
      <c r="I191" s="13"/>
      <c r="U191" s="13"/>
      <c r="W191" s="13"/>
      <c r="X191" s="13"/>
      <c r="Y191" s="13"/>
    </row>
    <row r="192" spans="6:25" x14ac:dyDescent="0.25">
      <c r="F192" s="13"/>
      <c r="H192" s="13"/>
      <c r="U192" s="13"/>
      <c r="W192" s="13"/>
      <c r="X192" s="13"/>
      <c r="Y192" s="13"/>
    </row>
    <row r="193" spans="6:25" x14ac:dyDescent="0.25">
      <c r="F193" s="13"/>
      <c r="H193" s="13"/>
      <c r="I193" s="13"/>
      <c r="U193" s="13"/>
      <c r="W193" s="13"/>
      <c r="X193" s="13"/>
      <c r="Y193" s="13"/>
    </row>
    <row r="194" spans="6:25" x14ac:dyDescent="0.25">
      <c r="F194" s="13"/>
      <c r="H194" s="13"/>
      <c r="I194" s="13"/>
      <c r="J194" s="13"/>
      <c r="U194" s="13"/>
      <c r="W194" s="13"/>
      <c r="X194" s="13"/>
      <c r="Y194" s="13"/>
    </row>
    <row r="195" spans="6:25" x14ac:dyDescent="0.25">
      <c r="F195" s="13"/>
      <c r="H195" s="13"/>
      <c r="I195" s="13"/>
      <c r="U195" s="13"/>
      <c r="W195" s="13"/>
      <c r="X195" s="13"/>
      <c r="Y195" s="13"/>
    </row>
    <row r="196" spans="6:25" x14ac:dyDescent="0.25">
      <c r="F196" s="13"/>
      <c r="H196" s="13"/>
      <c r="I196" s="13"/>
      <c r="J196" s="13"/>
      <c r="U196" s="13"/>
      <c r="W196" s="13"/>
      <c r="X196" s="13"/>
      <c r="Y196" s="13"/>
    </row>
    <row r="197" spans="6:25" x14ac:dyDescent="0.25">
      <c r="F197" s="13"/>
      <c r="H197" s="13"/>
      <c r="I197" s="13"/>
      <c r="U197" s="13"/>
      <c r="W197" s="13"/>
      <c r="X197" s="13"/>
      <c r="Y197" s="13"/>
    </row>
    <row r="198" spans="6:25" x14ac:dyDescent="0.25">
      <c r="F198" s="13"/>
      <c r="H198" s="13"/>
      <c r="I198" s="13"/>
      <c r="U198" s="13"/>
      <c r="W198" s="13"/>
      <c r="X198" s="13"/>
      <c r="Y198" s="13"/>
    </row>
    <row r="199" spans="6:25" x14ac:dyDescent="0.25">
      <c r="F199" s="13"/>
      <c r="H199" s="13"/>
      <c r="I199" s="13"/>
      <c r="J199" s="13"/>
      <c r="U199" s="13"/>
      <c r="W199" s="13"/>
      <c r="X199" s="13"/>
      <c r="Y199" s="13"/>
    </row>
    <row r="200" spans="6:25" x14ac:dyDescent="0.25">
      <c r="F200" s="13"/>
      <c r="H200" s="13"/>
      <c r="I200" s="13"/>
      <c r="U200" s="13"/>
      <c r="W200" s="13"/>
      <c r="X200" s="13"/>
      <c r="Y200" s="13"/>
    </row>
    <row r="201" spans="6:25" x14ac:dyDescent="0.25">
      <c r="F201" s="13"/>
      <c r="H201" s="13"/>
      <c r="I201" s="13"/>
      <c r="J201" s="13"/>
      <c r="U201" s="13"/>
      <c r="W201" s="13"/>
      <c r="Y201" s="13"/>
    </row>
    <row r="202" spans="6:25" x14ac:dyDescent="0.25">
      <c r="F202" s="13"/>
      <c r="H202" s="13"/>
      <c r="I202" s="13"/>
      <c r="U202" s="13"/>
      <c r="W202" s="13"/>
      <c r="X202" s="13"/>
      <c r="Y202" s="13"/>
    </row>
    <row r="203" spans="6:25" x14ac:dyDescent="0.25">
      <c r="F203" s="13"/>
      <c r="H203" s="13"/>
      <c r="U203" s="13"/>
      <c r="W203" s="13"/>
      <c r="Y203" s="13"/>
    </row>
    <row r="204" spans="6:25" x14ac:dyDescent="0.25">
      <c r="F204" s="13"/>
      <c r="H204" s="13"/>
      <c r="I204" s="13"/>
      <c r="J204" s="13"/>
      <c r="U204" s="13"/>
      <c r="W204" s="13"/>
      <c r="X204" s="13"/>
      <c r="Y204" s="13"/>
    </row>
    <row r="205" spans="6:25" x14ac:dyDescent="0.25">
      <c r="F205" s="13"/>
      <c r="H205" s="13"/>
      <c r="I205" s="13"/>
      <c r="U205" s="13"/>
      <c r="W205" s="13"/>
      <c r="X205" s="13"/>
      <c r="Y205" s="13"/>
    </row>
    <row r="206" spans="6:25" x14ac:dyDescent="0.25">
      <c r="F206" s="13"/>
      <c r="H206" s="13"/>
      <c r="I206" s="13"/>
      <c r="U206" s="13"/>
      <c r="W206" s="13"/>
      <c r="X206" s="13"/>
      <c r="Y206" s="13"/>
    </row>
    <row r="207" spans="6:25" x14ac:dyDescent="0.25">
      <c r="F207" s="13"/>
      <c r="H207" s="13"/>
      <c r="I207" s="13"/>
      <c r="U207" s="13"/>
      <c r="W207" s="13"/>
      <c r="Y207" s="13"/>
    </row>
    <row r="208" spans="6:25" x14ac:dyDescent="0.25">
      <c r="F208" s="13"/>
      <c r="H208" s="13"/>
      <c r="I208" s="13"/>
      <c r="U208" s="13"/>
      <c r="W208" s="13"/>
      <c r="X208" s="13"/>
      <c r="Y208" s="13"/>
    </row>
    <row r="209" spans="6:25" x14ac:dyDescent="0.25">
      <c r="F209" s="13"/>
      <c r="H209" s="13"/>
      <c r="U209" s="13"/>
      <c r="W209" s="13"/>
      <c r="X209" s="13"/>
      <c r="Y209" s="13"/>
    </row>
    <row r="210" spans="6:25" x14ac:dyDescent="0.25">
      <c r="F210" s="13"/>
      <c r="H210" s="13"/>
      <c r="I210" s="13"/>
      <c r="J210" s="13"/>
      <c r="U210" s="13"/>
      <c r="W210" s="13"/>
      <c r="X210" s="13"/>
      <c r="Y210" s="13"/>
    </row>
    <row r="211" spans="6:25" x14ac:dyDescent="0.25">
      <c r="F211" s="13"/>
      <c r="H211" s="13"/>
      <c r="I211" s="13"/>
      <c r="J211" s="13"/>
      <c r="U211" s="13"/>
      <c r="W211" s="13"/>
      <c r="X211" s="13"/>
      <c r="Y211" s="13"/>
    </row>
    <row r="212" spans="6:25" x14ac:dyDescent="0.25">
      <c r="F212" s="13"/>
      <c r="H212" s="13"/>
      <c r="I212" s="13"/>
      <c r="J212" s="13"/>
      <c r="U212" s="13"/>
      <c r="W212" s="13"/>
      <c r="X212" s="13"/>
      <c r="Y212" s="13"/>
    </row>
    <row r="213" spans="6:25" x14ac:dyDescent="0.25">
      <c r="F213" s="13"/>
      <c r="H213" s="13"/>
      <c r="I213" s="13"/>
      <c r="U213" s="13"/>
      <c r="W213" s="13"/>
      <c r="X213" s="13"/>
      <c r="Y213" s="13"/>
    </row>
    <row r="214" spans="6:25" x14ac:dyDescent="0.25">
      <c r="F214" s="13"/>
      <c r="H214" s="13"/>
      <c r="I214" s="13"/>
      <c r="U214" s="13"/>
      <c r="W214" s="13"/>
      <c r="X214" s="13"/>
      <c r="Y214" s="13"/>
    </row>
    <row r="215" spans="6:25" x14ac:dyDescent="0.25">
      <c r="F215" s="13"/>
      <c r="H215" s="13"/>
      <c r="I215" s="13"/>
      <c r="U215" s="13"/>
      <c r="W215" s="13"/>
      <c r="X215" s="13"/>
      <c r="Y215" s="13"/>
    </row>
    <row r="216" spans="6:25" x14ac:dyDescent="0.25">
      <c r="F216" s="13"/>
      <c r="H216" s="13"/>
      <c r="I216" s="13"/>
      <c r="U216" s="13"/>
      <c r="W216" s="13"/>
      <c r="X216" s="13"/>
      <c r="Y216" s="13"/>
    </row>
    <row r="217" spans="6:25" x14ac:dyDescent="0.25">
      <c r="F217" s="13"/>
      <c r="H217" s="13"/>
      <c r="I217" s="13"/>
      <c r="J217" s="13"/>
      <c r="U217" s="13"/>
      <c r="W217" s="13"/>
      <c r="X217" s="13"/>
      <c r="Y217" s="13"/>
    </row>
    <row r="218" spans="6:25" x14ac:dyDescent="0.25">
      <c r="F218" s="13"/>
      <c r="H218" s="13"/>
      <c r="I218" s="13"/>
      <c r="U218" s="13"/>
      <c r="W218" s="13"/>
      <c r="Y218" s="13"/>
    </row>
    <row r="219" spans="6:25" x14ac:dyDescent="0.25">
      <c r="F219" s="13"/>
      <c r="H219" s="13"/>
      <c r="I219" s="13"/>
      <c r="U219" s="13"/>
      <c r="W219" s="13"/>
      <c r="X219" s="13"/>
      <c r="Y219" s="13"/>
    </row>
    <row r="220" spans="6:25" x14ac:dyDescent="0.25">
      <c r="F220" s="13"/>
      <c r="H220" s="13"/>
      <c r="I220" s="13"/>
      <c r="U220" s="13"/>
      <c r="W220" s="13"/>
      <c r="X220" s="13"/>
      <c r="Y220" s="13"/>
    </row>
    <row r="221" spans="6:25" x14ac:dyDescent="0.25">
      <c r="F221" s="13"/>
      <c r="H221" s="13"/>
      <c r="I221" s="13"/>
      <c r="J221" s="13"/>
      <c r="U221" s="13"/>
      <c r="W221" s="13"/>
      <c r="X221" s="13"/>
      <c r="Y221" s="13"/>
    </row>
    <row r="222" spans="6:25" x14ac:dyDescent="0.25">
      <c r="F222" s="13"/>
      <c r="H222" s="13"/>
      <c r="I222" s="13"/>
      <c r="J222" s="13"/>
      <c r="U222" s="13"/>
      <c r="W222" s="13"/>
      <c r="X222" s="13"/>
      <c r="Y222" s="13"/>
    </row>
    <row r="223" spans="6:25" x14ac:dyDescent="0.25">
      <c r="F223" s="13"/>
      <c r="H223" s="13"/>
      <c r="I223" s="13"/>
      <c r="J223" s="13"/>
      <c r="U223" s="13"/>
      <c r="W223" s="13"/>
      <c r="X223" s="13"/>
      <c r="Y223" s="13"/>
    </row>
    <row r="224" spans="6:25" x14ac:dyDescent="0.25">
      <c r="F224" s="13"/>
      <c r="H224" s="13"/>
      <c r="I224" s="13"/>
      <c r="U224" s="13"/>
      <c r="W224" s="13"/>
      <c r="X224" s="13"/>
      <c r="Y224" s="13"/>
    </row>
    <row r="225" spans="6:25" x14ac:dyDescent="0.25">
      <c r="F225" s="13"/>
      <c r="H225" s="13"/>
      <c r="I225" s="13"/>
      <c r="U225" s="13"/>
      <c r="W225" s="13"/>
      <c r="X225" s="13"/>
      <c r="Y225" s="13"/>
    </row>
    <row r="226" spans="6:25" x14ac:dyDescent="0.25">
      <c r="F226" s="13"/>
      <c r="H226" s="13"/>
      <c r="I226" s="13"/>
      <c r="U226" s="13"/>
      <c r="W226" s="13"/>
      <c r="X226" s="13"/>
      <c r="Y226" s="13"/>
    </row>
    <row r="227" spans="6:25" x14ac:dyDescent="0.25">
      <c r="F227" s="13"/>
      <c r="H227" s="13"/>
      <c r="I227" s="13"/>
      <c r="U227" s="13"/>
      <c r="W227" s="13"/>
      <c r="X227" s="13"/>
      <c r="Y227" s="13"/>
    </row>
    <row r="228" spans="6:25" x14ac:dyDescent="0.25">
      <c r="F228" s="13"/>
      <c r="H228" s="13"/>
      <c r="I228" s="13"/>
      <c r="U228" s="13"/>
      <c r="W228" s="13"/>
      <c r="X228" s="13"/>
      <c r="Y228" s="13"/>
    </row>
    <row r="229" spans="6:25" x14ac:dyDescent="0.25">
      <c r="F229" s="13"/>
      <c r="H229" s="13"/>
      <c r="I229" s="13"/>
      <c r="J229" s="13"/>
      <c r="K229" s="13"/>
      <c r="L229" s="13"/>
      <c r="M229" s="13"/>
      <c r="N229" s="13"/>
      <c r="U229" s="13"/>
      <c r="W229" s="13"/>
      <c r="X229" s="13"/>
      <c r="Y229" s="13"/>
    </row>
    <row r="230" spans="6:25" x14ac:dyDescent="0.25">
      <c r="F230" s="13"/>
      <c r="H230" s="13"/>
      <c r="I230" s="13"/>
      <c r="J230" s="13"/>
      <c r="U230" s="13"/>
      <c r="W230" s="13"/>
      <c r="X230" s="13"/>
      <c r="Y230" s="13"/>
    </row>
    <row r="231" spans="6:25" x14ac:dyDescent="0.25">
      <c r="F231" s="13"/>
      <c r="H231" s="13"/>
      <c r="I231" s="13"/>
      <c r="U231" s="13"/>
      <c r="W231" s="13"/>
      <c r="X231" s="13"/>
      <c r="Y231" s="13"/>
    </row>
    <row r="232" spans="6:25" x14ac:dyDescent="0.25">
      <c r="F232" s="13"/>
      <c r="H232" s="13"/>
      <c r="I232" s="13"/>
      <c r="U232" s="13"/>
      <c r="W232" s="13"/>
      <c r="X232" s="13"/>
      <c r="Y232" s="13"/>
    </row>
    <row r="233" spans="6:25" x14ac:dyDescent="0.25">
      <c r="F233" s="13"/>
      <c r="H233" s="13"/>
      <c r="I233" s="13"/>
      <c r="U233" s="13"/>
      <c r="W233" s="13"/>
      <c r="X233" s="13"/>
      <c r="Y233" s="13"/>
    </row>
    <row r="234" spans="6:25" x14ac:dyDescent="0.25">
      <c r="F234" s="13"/>
      <c r="H234" s="13"/>
      <c r="I234" s="13"/>
      <c r="U234" s="13"/>
      <c r="W234" s="13"/>
      <c r="X234" s="13"/>
      <c r="Y234" s="13"/>
    </row>
    <row r="235" spans="6:25" x14ac:dyDescent="0.25">
      <c r="F235" s="13"/>
      <c r="H235" s="13"/>
      <c r="I235" s="13"/>
      <c r="J235" s="13"/>
      <c r="U235" s="13"/>
      <c r="W235" s="13"/>
      <c r="X235" s="13"/>
      <c r="Y235" s="13"/>
    </row>
    <row r="236" spans="6:25" x14ac:dyDescent="0.25">
      <c r="F236" s="13"/>
      <c r="H236" s="13"/>
      <c r="I236" s="13"/>
      <c r="U236" s="13"/>
      <c r="W236" s="13"/>
      <c r="X236" s="13"/>
      <c r="Y236" s="13"/>
    </row>
    <row r="237" spans="6:25" x14ac:dyDescent="0.25">
      <c r="F237" s="13"/>
      <c r="H237" s="13"/>
      <c r="I237" s="13"/>
      <c r="U237" s="13"/>
      <c r="W237" s="13"/>
      <c r="X237" s="13"/>
      <c r="Y237" s="13"/>
    </row>
    <row r="238" spans="6:25" x14ac:dyDescent="0.25">
      <c r="F238" s="13"/>
      <c r="H238" s="13"/>
      <c r="I238" s="13"/>
      <c r="U238" s="13"/>
      <c r="W238" s="13"/>
      <c r="X238" s="13"/>
      <c r="Y238" s="13"/>
    </row>
    <row r="239" spans="6:25" x14ac:dyDescent="0.25">
      <c r="F239" s="13"/>
      <c r="H239" s="13"/>
      <c r="I239" s="13"/>
      <c r="J239" s="13"/>
      <c r="U239" s="13"/>
      <c r="W239" s="13"/>
      <c r="X239" s="13"/>
      <c r="Y239" s="13"/>
    </row>
    <row r="240" spans="6:25" x14ac:dyDescent="0.25">
      <c r="F240" s="13"/>
      <c r="H240" s="13"/>
      <c r="I240" s="13"/>
      <c r="J240" s="13"/>
      <c r="Q240" s="13"/>
      <c r="U240" s="13"/>
      <c r="W240" s="13"/>
      <c r="X240" s="13"/>
      <c r="Y240" s="13"/>
    </row>
    <row r="241" spans="6:25" x14ac:dyDescent="0.25">
      <c r="F241" s="13"/>
      <c r="H241" s="13"/>
      <c r="J241" s="13"/>
      <c r="U241" s="13"/>
      <c r="W241" s="13"/>
      <c r="X241" s="13"/>
      <c r="Y241" s="13"/>
    </row>
    <row r="242" spans="6:25" x14ac:dyDescent="0.25">
      <c r="F242" s="13"/>
      <c r="H242" s="13"/>
      <c r="I242" s="13"/>
      <c r="U242" s="13"/>
      <c r="W242" s="13"/>
      <c r="X242" s="13"/>
      <c r="Y242" s="13"/>
    </row>
    <row r="243" spans="6:25" x14ac:dyDescent="0.25">
      <c r="F243" s="13"/>
      <c r="H243" s="13"/>
      <c r="I243" s="13"/>
      <c r="J243" s="13"/>
      <c r="K243" s="13"/>
      <c r="U243" s="13"/>
      <c r="W243" s="13"/>
      <c r="X243" s="13"/>
      <c r="Y243" s="13"/>
    </row>
    <row r="244" spans="6:25" x14ac:dyDescent="0.25">
      <c r="F244" s="13"/>
      <c r="H244" s="13"/>
      <c r="I244" s="13"/>
      <c r="U244" s="13"/>
      <c r="W244" s="13"/>
      <c r="X244" s="13"/>
      <c r="Y244" s="13"/>
    </row>
    <row r="245" spans="6:25" x14ac:dyDescent="0.25">
      <c r="F245" s="13"/>
      <c r="H245" s="13"/>
      <c r="I245" s="13"/>
      <c r="U245" s="13"/>
      <c r="W245" s="13"/>
      <c r="X245" s="13"/>
      <c r="Y245" s="13"/>
    </row>
    <row r="246" spans="6:25" x14ac:dyDescent="0.25">
      <c r="F246" s="13"/>
      <c r="H246" s="13"/>
      <c r="I246" s="13"/>
      <c r="U246" s="13"/>
      <c r="W246" s="13"/>
      <c r="X246" s="13"/>
      <c r="Y246" s="13"/>
    </row>
    <row r="247" spans="6:25" x14ac:dyDescent="0.25">
      <c r="F247" s="13"/>
      <c r="H247" s="13"/>
      <c r="I247" s="13"/>
      <c r="U247" s="13"/>
      <c r="W247" s="13"/>
      <c r="X247" s="13"/>
      <c r="Y247" s="13"/>
    </row>
    <row r="248" spans="6:25" x14ac:dyDescent="0.25">
      <c r="F248" s="13"/>
      <c r="H248" s="13"/>
      <c r="I248" s="13"/>
      <c r="U248" s="13"/>
      <c r="W248" s="13"/>
      <c r="X248" s="13"/>
      <c r="Y248" s="13"/>
    </row>
    <row r="249" spans="6:25" x14ac:dyDescent="0.25">
      <c r="F249" s="13"/>
      <c r="H249" s="13"/>
      <c r="I249" s="13"/>
      <c r="J249" s="13"/>
      <c r="K249" s="13"/>
      <c r="L249" s="13"/>
      <c r="U249" s="13"/>
      <c r="W249" s="13"/>
      <c r="X249" s="13"/>
      <c r="Y249" s="13"/>
    </row>
    <row r="250" spans="6:25" x14ac:dyDescent="0.25">
      <c r="F250" s="13"/>
      <c r="H250" s="13"/>
      <c r="I250" s="13"/>
      <c r="U250" s="13"/>
      <c r="W250" s="13"/>
      <c r="X250" s="13"/>
      <c r="Y250" s="13"/>
    </row>
    <row r="251" spans="6:25" x14ac:dyDescent="0.25">
      <c r="F251" s="13"/>
      <c r="H251" s="13"/>
      <c r="I251" s="13"/>
      <c r="J251" s="13"/>
      <c r="U251" s="13"/>
      <c r="W251" s="13"/>
      <c r="X251" s="13"/>
      <c r="Y251" s="13"/>
    </row>
    <row r="252" spans="6:25" x14ac:dyDescent="0.25">
      <c r="F252" s="13"/>
      <c r="H252" s="13"/>
      <c r="I252" s="13"/>
      <c r="J252" s="13"/>
      <c r="K252" s="13"/>
      <c r="U252" s="13"/>
      <c r="W252" s="13"/>
      <c r="X252" s="13"/>
      <c r="Y252" s="13"/>
    </row>
    <row r="253" spans="6:25" x14ac:dyDescent="0.25">
      <c r="F253" s="13"/>
      <c r="H253" s="13"/>
      <c r="I253" s="13"/>
      <c r="J253" s="13"/>
      <c r="U253" s="13"/>
      <c r="W253" s="13"/>
      <c r="X253" s="13"/>
      <c r="Y253" s="13"/>
    </row>
    <row r="254" spans="6:25" x14ac:dyDescent="0.25">
      <c r="F254" s="13"/>
      <c r="H254" s="13"/>
      <c r="I254" s="13"/>
      <c r="U254" s="13"/>
      <c r="W254" s="13"/>
      <c r="X254" s="13"/>
      <c r="Y254" s="13"/>
    </row>
    <row r="255" spans="6:25" x14ac:dyDescent="0.25">
      <c r="F255" s="13"/>
      <c r="H255" s="13"/>
      <c r="I255" s="13"/>
      <c r="J255" s="13"/>
      <c r="U255" s="13"/>
      <c r="W255" s="13"/>
      <c r="X255" s="13"/>
      <c r="Y255" s="13"/>
    </row>
    <row r="256" spans="6:25" x14ac:dyDescent="0.25">
      <c r="F256" s="13"/>
      <c r="H256" s="13"/>
      <c r="I256" s="13"/>
      <c r="J256" s="13"/>
      <c r="U256" s="13"/>
      <c r="W256" s="13"/>
      <c r="X256" s="13"/>
      <c r="Y256" s="13"/>
    </row>
    <row r="257" spans="6:25" x14ac:dyDescent="0.25">
      <c r="F257" s="13"/>
      <c r="H257" s="13"/>
      <c r="I257" s="13"/>
      <c r="U257" s="13"/>
      <c r="W257" s="13"/>
      <c r="X257" s="13"/>
      <c r="Y257" s="13"/>
    </row>
    <row r="258" spans="6:25" x14ac:dyDescent="0.25">
      <c r="F258" s="13"/>
      <c r="H258" s="13"/>
      <c r="I258" s="13"/>
      <c r="J258" s="13"/>
      <c r="K258" s="13"/>
      <c r="U258" s="13"/>
      <c r="W258" s="13"/>
      <c r="X258" s="13"/>
      <c r="Y258" s="13"/>
    </row>
    <row r="259" spans="6:25" x14ac:dyDescent="0.25">
      <c r="F259" s="13"/>
      <c r="H259" s="13"/>
      <c r="I259" s="13"/>
      <c r="J259" s="13"/>
      <c r="K259" s="13"/>
      <c r="U259" s="13"/>
      <c r="W259" s="13"/>
      <c r="X259" s="13"/>
      <c r="Y259" s="13"/>
    </row>
    <row r="260" spans="6:25" x14ac:dyDescent="0.25">
      <c r="F260" s="13"/>
      <c r="H260" s="13"/>
      <c r="I260" s="13"/>
      <c r="J260" s="13"/>
      <c r="K260" s="13"/>
      <c r="U260" s="13"/>
      <c r="W260" s="13"/>
      <c r="X260" s="13"/>
      <c r="Y260" s="13"/>
    </row>
    <row r="261" spans="6:25" x14ac:dyDescent="0.25">
      <c r="F261" s="13"/>
      <c r="H261" s="13"/>
      <c r="I261" s="13"/>
      <c r="U261" s="13"/>
      <c r="W261" s="13"/>
      <c r="X261" s="13"/>
      <c r="Y261" s="13"/>
    </row>
    <row r="262" spans="6:25" x14ac:dyDescent="0.25">
      <c r="F262" s="13"/>
      <c r="H262" s="13"/>
      <c r="I262" s="13"/>
      <c r="J262" s="13"/>
      <c r="U262" s="13"/>
      <c r="W262" s="13"/>
      <c r="X262" s="13"/>
      <c r="Y262" s="13"/>
    </row>
    <row r="263" spans="6:25" x14ac:dyDescent="0.25">
      <c r="F263" s="13"/>
      <c r="H263" s="13"/>
      <c r="I263" s="13"/>
      <c r="J263" s="13"/>
      <c r="U263" s="13"/>
      <c r="W263" s="13"/>
      <c r="X263" s="13"/>
      <c r="Y263" s="13"/>
    </row>
    <row r="264" spans="6:25" x14ac:dyDescent="0.25">
      <c r="F264" s="13"/>
      <c r="H264" s="13"/>
      <c r="I264" s="13"/>
      <c r="U264" s="13"/>
      <c r="W264" s="13"/>
      <c r="X264" s="13"/>
      <c r="Y264" s="13"/>
    </row>
    <row r="265" spans="6:25" x14ac:dyDescent="0.25">
      <c r="F265" s="13"/>
      <c r="H265" s="13"/>
      <c r="I265" s="13"/>
      <c r="J265" s="13"/>
      <c r="U265" s="13"/>
      <c r="W265" s="13"/>
      <c r="X265" s="13"/>
      <c r="Y265" s="13"/>
    </row>
    <row r="266" spans="6:25" x14ac:dyDescent="0.25">
      <c r="F266" s="13"/>
      <c r="H266" s="13"/>
      <c r="I266" s="13"/>
      <c r="U266" s="13"/>
      <c r="W266" s="13"/>
      <c r="X266" s="13"/>
      <c r="Y266" s="13"/>
    </row>
    <row r="267" spans="6:25" x14ac:dyDescent="0.25">
      <c r="F267" s="13"/>
      <c r="H267" s="13"/>
      <c r="I267" s="13"/>
      <c r="U267" s="13"/>
      <c r="W267" s="13"/>
      <c r="X267" s="13"/>
      <c r="Y267" s="13"/>
    </row>
    <row r="268" spans="6:25" x14ac:dyDescent="0.25">
      <c r="F268" s="13"/>
      <c r="H268" s="13"/>
      <c r="I268" s="13"/>
      <c r="U268" s="13"/>
      <c r="W268" s="13"/>
      <c r="X268" s="13"/>
      <c r="Y268" s="13"/>
    </row>
    <row r="269" spans="6:25" x14ac:dyDescent="0.25">
      <c r="F269" s="13"/>
      <c r="H269" s="13"/>
      <c r="I269" s="13"/>
      <c r="U269" s="13"/>
      <c r="W269" s="13"/>
      <c r="X269" s="13"/>
      <c r="Y269" s="13"/>
    </row>
    <row r="270" spans="6:25" x14ac:dyDescent="0.25">
      <c r="F270" s="13"/>
      <c r="H270" s="13"/>
      <c r="I270" s="13"/>
      <c r="U270" s="13"/>
      <c r="W270" s="13"/>
      <c r="X270" s="13"/>
      <c r="Y270" s="13"/>
    </row>
    <row r="271" spans="6:25" x14ac:dyDescent="0.25">
      <c r="F271" s="13"/>
      <c r="H271" s="13"/>
      <c r="I271" s="13"/>
      <c r="U271" s="13"/>
      <c r="W271" s="13"/>
      <c r="X271" s="13"/>
      <c r="Y271" s="13"/>
    </row>
    <row r="272" spans="6:25" x14ac:dyDescent="0.25">
      <c r="F272" s="13"/>
      <c r="H272" s="13"/>
      <c r="U272" s="13"/>
      <c r="Y272" s="13"/>
    </row>
    <row r="273" spans="6:25" x14ac:dyDescent="0.25">
      <c r="F273" s="13"/>
      <c r="H273" s="13"/>
      <c r="I273" s="13"/>
      <c r="J273" s="13"/>
      <c r="U273" s="13"/>
      <c r="W273" s="13"/>
      <c r="X273" s="13"/>
      <c r="Y273" s="13"/>
    </row>
    <row r="274" spans="6:25" x14ac:dyDescent="0.25">
      <c r="F274" s="13"/>
      <c r="H274" s="13"/>
      <c r="I274" s="13"/>
      <c r="U274" s="13"/>
      <c r="W274" s="13"/>
      <c r="X274" s="13"/>
      <c r="Y274" s="13"/>
    </row>
    <row r="275" spans="6:25" x14ac:dyDescent="0.25">
      <c r="F275" s="13"/>
      <c r="H275" s="13"/>
      <c r="I275" s="13"/>
      <c r="U275" s="13"/>
      <c r="W275" s="13"/>
      <c r="X275" s="13"/>
      <c r="Y275" s="13"/>
    </row>
    <row r="276" spans="6:25" x14ac:dyDescent="0.25">
      <c r="F276" s="13"/>
      <c r="H276" s="13"/>
      <c r="I276" s="13"/>
      <c r="J276" s="13"/>
      <c r="U276" s="13"/>
      <c r="W276" s="13"/>
      <c r="X276" s="13"/>
      <c r="Y276" s="13"/>
    </row>
    <row r="277" spans="6:25" x14ac:dyDescent="0.25">
      <c r="F277" s="13"/>
      <c r="H277" s="13"/>
      <c r="I277" s="13"/>
      <c r="U277" s="13"/>
      <c r="W277" s="13"/>
      <c r="X277" s="13"/>
      <c r="Y277" s="13"/>
    </row>
    <row r="278" spans="6:25" x14ac:dyDescent="0.25">
      <c r="F278" s="13"/>
      <c r="H278" s="13"/>
      <c r="I278" s="13"/>
      <c r="U278" s="13"/>
      <c r="W278" s="13"/>
      <c r="X278" s="13"/>
      <c r="Y278" s="13"/>
    </row>
    <row r="279" spans="6:25" x14ac:dyDescent="0.25">
      <c r="F279" s="13"/>
      <c r="H279" s="13"/>
      <c r="I279" s="13"/>
      <c r="U279" s="13"/>
      <c r="W279" s="13"/>
      <c r="Y279" s="13"/>
    </row>
    <row r="280" spans="6:25" x14ac:dyDescent="0.25">
      <c r="F280" s="13"/>
      <c r="H280" s="13"/>
      <c r="I280" s="13"/>
      <c r="U280" s="13"/>
      <c r="W280" s="13"/>
      <c r="X280" s="13"/>
      <c r="Y280" s="13"/>
    </row>
    <row r="281" spans="6:25" x14ac:dyDescent="0.25">
      <c r="F281" s="13"/>
      <c r="H281" s="13"/>
      <c r="I281" s="13"/>
      <c r="U281" s="13"/>
      <c r="W281" s="13"/>
      <c r="X281" s="13"/>
      <c r="Y281" s="13"/>
    </row>
    <row r="282" spans="6:25" x14ac:dyDescent="0.25">
      <c r="F282" s="13"/>
      <c r="H282" s="13"/>
      <c r="I282" s="13"/>
      <c r="J282" s="13"/>
      <c r="K282" s="13"/>
      <c r="U282" s="13"/>
      <c r="W282" s="13"/>
      <c r="X282" s="13"/>
      <c r="Y282" s="13"/>
    </row>
    <row r="283" spans="6:25" x14ac:dyDescent="0.25">
      <c r="F283" s="13"/>
      <c r="H283" s="13"/>
      <c r="I283" s="13"/>
      <c r="U283" s="13"/>
      <c r="W283" s="13"/>
      <c r="X283" s="13"/>
      <c r="Y283" s="13"/>
    </row>
    <row r="284" spans="6:25" x14ac:dyDescent="0.25">
      <c r="F284" s="13"/>
      <c r="H284" s="13"/>
      <c r="I284" s="13"/>
      <c r="U284" s="13"/>
      <c r="W284" s="13"/>
      <c r="X284" s="13"/>
      <c r="Y284" s="13"/>
    </row>
    <row r="285" spans="6:25" x14ac:dyDescent="0.25">
      <c r="F285" s="13"/>
      <c r="H285" s="13"/>
      <c r="I285" s="13"/>
      <c r="J285" s="13"/>
      <c r="U285" s="13"/>
      <c r="W285" s="13"/>
      <c r="Y285" s="13"/>
    </row>
    <row r="286" spans="6:25" x14ac:dyDescent="0.25">
      <c r="F286" s="13"/>
      <c r="H286" s="13"/>
      <c r="I286" s="13"/>
      <c r="U286" s="13"/>
      <c r="W286" s="13"/>
      <c r="X286" s="13"/>
      <c r="Y286" s="13"/>
    </row>
    <row r="287" spans="6:25" x14ac:dyDescent="0.25">
      <c r="F287" s="13"/>
      <c r="H287" s="13"/>
      <c r="I287" s="13"/>
      <c r="U287" s="13"/>
      <c r="W287" s="13"/>
      <c r="X287" s="13"/>
      <c r="Y287" s="13"/>
    </row>
    <row r="288" spans="6:25" x14ac:dyDescent="0.25">
      <c r="F288" s="13"/>
      <c r="H288" s="13"/>
      <c r="I288" s="13"/>
      <c r="U288" s="13"/>
      <c r="W288" s="13"/>
      <c r="X288" s="13"/>
      <c r="Y288" s="13"/>
    </row>
    <row r="289" spans="6:25" x14ac:dyDescent="0.25">
      <c r="F289" s="13"/>
      <c r="H289" s="13"/>
      <c r="I289" s="13"/>
      <c r="U289" s="13"/>
      <c r="W289" s="13"/>
      <c r="X289" s="13"/>
      <c r="Y289" s="13"/>
    </row>
    <row r="290" spans="6:25" x14ac:dyDescent="0.25">
      <c r="F290" s="13"/>
      <c r="H290" s="13"/>
      <c r="I290" s="13"/>
      <c r="J290" s="13"/>
      <c r="U290" s="13"/>
      <c r="W290" s="13"/>
      <c r="X290" s="13"/>
      <c r="Y290" s="13"/>
    </row>
    <row r="291" spans="6:25" x14ac:dyDescent="0.25">
      <c r="F291" s="13"/>
      <c r="H291" s="13"/>
      <c r="I291" s="13"/>
      <c r="U291" s="13"/>
      <c r="W291" s="13"/>
      <c r="X291" s="13"/>
      <c r="Y291" s="13"/>
    </row>
    <row r="292" spans="6:25" x14ac:dyDescent="0.25">
      <c r="F292" s="13"/>
      <c r="H292" s="13"/>
      <c r="I292" s="13"/>
      <c r="U292" s="13"/>
      <c r="W292" s="13"/>
      <c r="X292" s="13"/>
      <c r="Y292" s="13"/>
    </row>
    <row r="293" spans="6:25" x14ac:dyDescent="0.25">
      <c r="F293" s="13"/>
      <c r="H293" s="13"/>
      <c r="I293" s="13"/>
      <c r="J293" s="13"/>
      <c r="U293" s="13"/>
      <c r="W293" s="13"/>
      <c r="X293" s="13"/>
      <c r="Y293" s="13"/>
    </row>
    <row r="294" spans="6:25" x14ac:dyDescent="0.25">
      <c r="F294" s="13"/>
      <c r="H294" s="13"/>
      <c r="I294" s="13"/>
      <c r="U294" s="13"/>
      <c r="W294" s="13"/>
      <c r="X294" s="13"/>
      <c r="Y294" s="13"/>
    </row>
    <row r="295" spans="6:25" x14ac:dyDescent="0.25">
      <c r="F295" s="13"/>
      <c r="H295" s="13"/>
      <c r="I295" s="13"/>
      <c r="U295" s="13"/>
      <c r="W295" s="13"/>
      <c r="X295" s="13"/>
      <c r="Y295" s="13"/>
    </row>
    <row r="296" spans="6:25" x14ac:dyDescent="0.25">
      <c r="F296" s="13"/>
      <c r="H296" s="13"/>
      <c r="I296" s="13"/>
      <c r="J296" s="13"/>
      <c r="U296" s="13"/>
      <c r="W296" s="13"/>
      <c r="X296" s="13"/>
      <c r="Y296" s="13"/>
    </row>
    <row r="297" spans="6:25" x14ac:dyDescent="0.25">
      <c r="F297" s="13"/>
      <c r="H297" s="13"/>
      <c r="I297" s="13"/>
      <c r="U297" s="13"/>
      <c r="W297" s="13"/>
      <c r="X297" s="13"/>
      <c r="Y297" s="13"/>
    </row>
    <row r="298" spans="6:25" x14ac:dyDescent="0.25">
      <c r="F298" s="13"/>
      <c r="H298" s="13"/>
      <c r="I298" s="13"/>
      <c r="U298" s="13"/>
      <c r="W298" s="13"/>
      <c r="X298" s="13"/>
      <c r="Y298" s="13"/>
    </row>
    <row r="299" spans="6:25" x14ac:dyDescent="0.25">
      <c r="F299" s="13"/>
      <c r="H299" s="13"/>
      <c r="I299" s="13"/>
      <c r="J299" s="13"/>
      <c r="K299" s="13"/>
      <c r="L299" s="13"/>
      <c r="M299" s="13"/>
      <c r="N299" s="13"/>
      <c r="U299" s="13"/>
      <c r="W299" s="13"/>
      <c r="X299" s="13"/>
      <c r="Y299" s="13"/>
    </row>
    <row r="300" spans="6:25" x14ac:dyDescent="0.25">
      <c r="F300" s="13"/>
      <c r="H300" s="13"/>
      <c r="I300" s="13"/>
      <c r="J300" s="13"/>
      <c r="U300" s="13"/>
      <c r="W300" s="13"/>
      <c r="Y300" s="13"/>
    </row>
    <row r="301" spans="6:25" x14ac:dyDescent="0.25">
      <c r="F301" s="13"/>
      <c r="H301" s="13"/>
      <c r="I301" s="13"/>
      <c r="J301" s="13"/>
      <c r="K301" s="13"/>
      <c r="U301" s="13"/>
      <c r="W301" s="13"/>
      <c r="X301" s="13"/>
      <c r="Y301" s="13"/>
    </row>
    <row r="302" spans="6:25" x14ac:dyDescent="0.25">
      <c r="F302" s="13"/>
      <c r="H302" s="13"/>
      <c r="I302" s="13"/>
      <c r="J302" s="13"/>
      <c r="K302" s="13"/>
      <c r="L302" s="13"/>
      <c r="M302" s="13"/>
      <c r="N302" s="13"/>
      <c r="O302" s="13"/>
      <c r="U302" s="13"/>
      <c r="W302" s="13"/>
      <c r="X302" s="13"/>
      <c r="Y302" s="13"/>
    </row>
    <row r="303" spans="6:25" x14ac:dyDescent="0.25">
      <c r="F303" s="13"/>
      <c r="H303" s="13"/>
      <c r="I303" s="13"/>
      <c r="J303" s="13"/>
      <c r="U303" s="13"/>
      <c r="W303" s="13"/>
      <c r="X303" s="13"/>
      <c r="Y303" s="13"/>
    </row>
    <row r="304" spans="6:25" x14ac:dyDescent="0.25">
      <c r="F304" s="13"/>
      <c r="H304" s="13"/>
      <c r="I304" s="13"/>
      <c r="U304" s="13"/>
      <c r="W304" s="13"/>
      <c r="X304" s="13"/>
      <c r="Y304" s="13"/>
    </row>
    <row r="305" spans="6:25" x14ac:dyDescent="0.25">
      <c r="F305" s="13"/>
      <c r="H305" s="13"/>
      <c r="I305" s="13"/>
      <c r="U305" s="13"/>
      <c r="W305" s="13"/>
      <c r="X305" s="13"/>
      <c r="Y305" s="13"/>
    </row>
    <row r="306" spans="6:25" x14ac:dyDescent="0.25">
      <c r="F306" s="13"/>
      <c r="H306" s="13"/>
      <c r="I306" s="13"/>
      <c r="U306" s="13"/>
      <c r="W306" s="13"/>
      <c r="X306" s="13"/>
      <c r="Y306" s="13"/>
    </row>
    <row r="307" spans="6:25" x14ac:dyDescent="0.25">
      <c r="F307" s="13"/>
      <c r="H307" s="13"/>
      <c r="I307" s="13"/>
      <c r="U307" s="13"/>
      <c r="W307" s="13"/>
      <c r="X307" s="13"/>
      <c r="Y307" s="13"/>
    </row>
    <row r="308" spans="6:25" x14ac:dyDescent="0.25">
      <c r="F308" s="13"/>
      <c r="H308" s="13"/>
      <c r="I308" s="13"/>
      <c r="U308" s="13"/>
      <c r="W308" s="13"/>
      <c r="X308" s="13"/>
      <c r="Y308" s="13"/>
    </row>
    <row r="309" spans="6:25" x14ac:dyDescent="0.25">
      <c r="F309" s="13"/>
      <c r="H309" s="13"/>
      <c r="I309" s="13"/>
      <c r="U309" s="13"/>
      <c r="W309" s="13"/>
      <c r="X309" s="13"/>
      <c r="Y309" s="13"/>
    </row>
    <row r="310" spans="6:25" x14ac:dyDescent="0.25">
      <c r="F310" s="13"/>
      <c r="H310" s="13"/>
      <c r="I310" s="13"/>
      <c r="U310" s="13"/>
      <c r="W310" s="13"/>
      <c r="X310" s="13"/>
      <c r="Y310" s="13"/>
    </row>
    <row r="311" spans="6:25" x14ac:dyDescent="0.25">
      <c r="F311" s="13"/>
      <c r="H311" s="13"/>
      <c r="I311" s="13"/>
      <c r="U311" s="13"/>
      <c r="W311" s="13"/>
      <c r="X311" s="13"/>
      <c r="Y311" s="13"/>
    </row>
    <row r="312" spans="6:25" x14ac:dyDescent="0.25">
      <c r="F312" s="13"/>
      <c r="H312" s="13"/>
      <c r="I312" s="13"/>
      <c r="U312" s="13"/>
      <c r="W312" s="13"/>
      <c r="Y312" s="13"/>
    </row>
    <row r="313" spans="6:25" x14ac:dyDescent="0.25">
      <c r="F313" s="13"/>
      <c r="H313" s="13"/>
      <c r="I313" s="13"/>
      <c r="U313" s="13"/>
      <c r="W313" s="13"/>
      <c r="X313" s="13"/>
      <c r="Y313" s="13"/>
    </row>
    <row r="314" spans="6:25" x14ac:dyDescent="0.25">
      <c r="F314" s="13"/>
      <c r="H314" s="13"/>
      <c r="I314" s="13"/>
      <c r="U314" s="13"/>
      <c r="W314" s="13"/>
      <c r="X314" s="13"/>
      <c r="Y314" s="13"/>
    </row>
    <row r="315" spans="6:25" x14ac:dyDescent="0.25">
      <c r="F315" s="13"/>
      <c r="H315" s="13"/>
      <c r="I315" s="13"/>
      <c r="U315" s="13"/>
      <c r="W315" s="13"/>
      <c r="X315" s="13"/>
      <c r="Y315" s="13"/>
    </row>
    <row r="316" spans="6:25" x14ac:dyDescent="0.25">
      <c r="F316" s="13"/>
      <c r="H316" s="13"/>
      <c r="I316" s="13"/>
      <c r="U316" s="13"/>
      <c r="W316" s="13"/>
      <c r="X316" s="13"/>
      <c r="Y316" s="13"/>
    </row>
    <row r="317" spans="6:25" x14ac:dyDescent="0.25">
      <c r="F317" s="13"/>
      <c r="H317" s="13"/>
      <c r="I317" s="13"/>
      <c r="U317" s="13"/>
      <c r="W317" s="13"/>
      <c r="X317" s="13"/>
      <c r="Y317" s="13"/>
    </row>
    <row r="318" spans="6:25" x14ac:dyDescent="0.25">
      <c r="F318" s="13"/>
      <c r="H318" s="13"/>
      <c r="I318" s="13"/>
      <c r="J318" s="13"/>
      <c r="U318" s="13"/>
      <c r="W318" s="13"/>
      <c r="X318" s="13"/>
      <c r="Y318" s="13"/>
    </row>
    <row r="319" spans="6:25" x14ac:dyDescent="0.25">
      <c r="F319" s="13"/>
      <c r="H319" s="13"/>
      <c r="I319" s="13"/>
      <c r="J319" s="13"/>
      <c r="U319" s="13"/>
      <c r="W319" s="13"/>
      <c r="X319" s="13"/>
      <c r="Y319" s="13"/>
    </row>
    <row r="320" spans="6:25" x14ac:dyDescent="0.25">
      <c r="F320" s="13"/>
      <c r="H320" s="13"/>
      <c r="I320" s="13"/>
      <c r="U320" s="13"/>
      <c r="W320" s="13"/>
      <c r="X320" s="13"/>
      <c r="Y320" s="13"/>
    </row>
    <row r="321" spans="6:25" x14ac:dyDescent="0.25">
      <c r="F321" s="13"/>
      <c r="H321" s="13"/>
      <c r="I321" s="13"/>
      <c r="U321" s="13"/>
      <c r="W321" s="13"/>
      <c r="X321" s="13"/>
      <c r="Y321" s="13"/>
    </row>
    <row r="322" spans="6:25" x14ac:dyDescent="0.25">
      <c r="F322" s="13"/>
      <c r="H322" s="13"/>
      <c r="I322" s="13"/>
      <c r="J322" s="13"/>
      <c r="U322" s="13"/>
      <c r="W322" s="13"/>
      <c r="X322" s="13"/>
      <c r="Y322" s="13"/>
    </row>
    <row r="323" spans="6:25" x14ac:dyDescent="0.25">
      <c r="F323" s="13"/>
      <c r="H323" s="13"/>
      <c r="I323" s="13"/>
      <c r="U323" s="13"/>
      <c r="W323" s="13"/>
      <c r="X323" s="13"/>
      <c r="Y323" s="13"/>
    </row>
    <row r="324" spans="6:25" x14ac:dyDescent="0.25">
      <c r="F324" s="13"/>
      <c r="H324" s="13"/>
      <c r="I324" s="13"/>
      <c r="U324" s="13"/>
      <c r="W324" s="13"/>
      <c r="X324" s="13"/>
      <c r="Y324" s="13"/>
    </row>
    <row r="325" spans="6:25" x14ac:dyDescent="0.25">
      <c r="F325" s="13"/>
      <c r="H325" s="13"/>
      <c r="I325" s="13"/>
      <c r="U325" s="13"/>
      <c r="W325" s="13"/>
      <c r="X325" s="13"/>
      <c r="Y325" s="13"/>
    </row>
    <row r="326" spans="6:25" x14ac:dyDescent="0.25">
      <c r="F326" s="13"/>
      <c r="H326" s="13"/>
      <c r="I326" s="13"/>
      <c r="U326" s="13"/>
      <c r="W326" s="13"/>
      <c r="X326" s="13"/>
      <c r="Y326" s="13"/>
    </row>
    <row r="327" spans="6:25" x14ac:dyDescent="0.25">
      <c r="F327" s="13"/>
      <c r="H327" s="13"/>
      <c r="I327" s="13"/>
      <c r="J327" s="13"/>
      <c r="U327" s="13"/>
      <c r="W327" s="13"/>
      <c r="X327" s="13"/>
      <c r="Y327" s="13"/>
    </row>
    <row r="328" spans="6:25" x14ac:dyDescent="0.25">
      <c r="F328" s="13"/>
      <c r="H328" s="13"/>
      <c r="I328" s="13"/>
      <c r="J328" s="13"/>
      <c r="K328" s="13"/>
      <c r="U328" s="13"/>
      <c r="W328" s="13"/>
      <c r="X328" s="13"/>
      <c r="Y328" s="13"/>
    </row>
    <row r="329" spans="6:25" x14ac:dyDescent="0.25">
      <c r="F329" s="13"/>
      <c r="H329" s="13"/>
      <c r="I329" s="13"/>
      <c r="J329" s="13"/>
      <c r="K329" s="13"/>
      <c r="U329" s="13"/>
      <c r="W329" s="13"/>
      <c r="X329" s="13"/>
      <c r="Y329" s="13"/>
    </row>
    <row r="330" spans="6:25" x14ac:dyDescent="0.25">
      <c r="F330" s="13"/>
      <c r="H330" s="13"/>
      <c r="I330" s="13"/>
      <c r="J330" s="13"/>
      <c r="K330" s="13"/>
      <c r="L330" s="13"/>
      <c r="U330" s="13"/>
      <c r="W330" s="13"/>
      <c r="X330" s="13"/>
      <c r="Y330" s="13"/>
    </row>
    <row r="331" spans="6:25" x14ac:dyDescent="0.25">
      <c r="F331" s="13"/>
      <c r="H331" s="13"/>
      <c r="I331" s="13"/>
      <c r="U331" s="13"/>
      <c r="W331" s="13"/>
      <c r="X331" s="13"/>
      <c r="Y331" s="13"/>
    </row>
    <row r="332" spans="6:25" x14ac:dyDescent="0.25">
      <c r="F332" s="13"/>
      <c r="H332" s="13"/>
      <c r="I332" s="13"/>
      <c r="U332" s="13"/>
      <c r="W332" s="13"/>
      <c r="X332" s="13"/>
      <c r="Y332" s="13"/>
    </row>
    <row r="333" spans="6:25" x14ac:dyDescent="0.25">
      <c r="F333" s="13"/>
      <c r="H333" s="13"/>
      <c r="I333" s="13"/>
      <c r="U333" s="13"/>
      <c r="W333" s="13"/>
      <c r="X333" s="13"/>
      <c r="Y333" s="13"/>
    </row>
    <row r="334" spans="6:25" x14ac:dyDescent="0.25">
      <c r="F334" s="13"/>
      <c r="H334" s="13"/>
      <c r="I334" s="13"/>
      <c r="U334" s="13"/>
      <c r="W334" s="13"/>
      <c r="X334" s="13"/>
      <c r="Y334" s="13"/>
    </row>
    <row r="335" spans="6:25" x14ac:dyDescent="0.25">
      <c r="F335" s="13"/>
      <c r="H335" s="13"/>
      <c r="I335" s="13"/>
      <c r="J335" s="13"/>
      <c r="K335" s="13"/>
      <c r="L335" s="13"/>
      <c r="U335" s="13"/>
      <c r="W335" s="13"/>
      <c r="X335" s="13"/>
      <c r="Y335" s="13"/>
    </row>
    <row r="336" spans="6:25" x14ac:dyDescent="0.25">
      <c r="F336" s="13"/>
      <c r="H336" s="13"/>
      <c r="I336" s="13"/>
      <c r="U336" s="13"/>
      <c r="W336" s="13"/>
      <c r="X336" s="13"/>
      <c r="Y336" s="13"/>
    </row>
    <row r="337" spans="6:25" x14ac:dyDescent="0.25">
      <c r="F337" s="13"/>
      <c r="H337" s="13"/>
      <c r="I337" s="13"/>
      <c r="J337" s="13"/>
      <c r="U337" s="13"/>
      <c r="W337" s="13"/>
      <c r="X337" s="13"/>
      <c r="Y337" s="13"/>
    </row>
    <row r="338" spans="6:25" x14ac:dyDescent="0.25">
      <c r="F338" s="13"/>
      <c r="H338" s="13"/>
      <c r="I338" s="13"/>
      <c r="J338" s="13"/>
      <c r="U338" s="13"/>
      <c r="W338" s="13"/>
      <c r="X338" s="13"/>
      <c r="Y338" s="13"/>
    </row>
    <row r="339" spans="6:25" x14ac:dyDescent="0.25">
      <c r="F339" s="13"/>
      <c r="H339" s="13"/>
      <c r="I339" s="13"/>
      <c r="U339" s="13"/>
      <c r="W339" s="13"/>
      <c r="X339" s="13"/>
      <c r="Y339" s="13"/>
    </row>
    <row r="340" spans="6:25" x14ac:dyDescent="0.25">
      <c r="F340" s="13"/>
      <c r="H340" s="13"/>
      <c r="I340" s="13"/>
      <c r="J340" s="13"/>
      <c r="K340" s="13"/>
      <c r="U340" s="13"/>
      <c r="W340" s="13"/>
      <c r="X340" s="13"/>
      <c r="Y340" s="13"/>
    </row>
    <row r="341" spans="6:25" x14ac:dyDescent="0.25">
      <c r="F341" s="13"/>
      <c r="H341" s="13"/>
      <c r="I341" s="13"/>
      <c r="U341" s="13"/>
      <c r="W341" s="13"/>
      <c r="X341" s="13"/>
      <c r="Y341" s="13"/>
    </row>
    <row r="342" spans="6:25" x14ac:dyDescent="0.25">
      <c r="F342" s="13"/>
      <c r="H342" s="13"/>
      <c r="I342" s="13"/>
      <c r="J342" s="13"/>
      <c r="K342" s="13"/>
      <c r="L342" s="13"/>
      <c r="U342" s="13"/>
      <c r="W342" s="13"/>
      <c r="X342" s="13"/>
      <c r="Y342" s="13"/>
    </row>
    <row r="343" spans="6:25" x14ac:dyDescent="0.25">
      <c r="F343" s="13"/>
      <c r="H343" s="13"/>
      <c r="I343" s="13"/>
      <c r="U343" s="13"/>
      <c r="W343" s="13"/>
      <c r="X343" s="13"/>
      <c r="Y343" s="13"/>
    </row>
    <row r="344" spans="6:25" x14ac:dyDescent="0.25">
      <c r="F344" s="13"/>
      <c r="H344" s="13"/>
      <c r="I344" s="13"/>
      <c r="J344" s="13"/>
      <c r="U344" s="13"/>
      <c r="W344" s="13"/>
      <c r="X344" s="13"/>
      <c r="Y344" s="13"/>
    </row>
    <row r="345" spans="6:25" x14ac:dyDescent="0.25">
      <c r="F345" s="13"/>
      <c r="H345" s="13"/>
      <c r="I345" s="13"/>
      <c r="U345" s="13"/>
      <c r="W345" s="13"/>
      <c r="X345" s="13"/>
      <c r="Y345" s="13"/>
    </row>
    <row r="346" spans="6:25" x14ac:dyDescent="0.25">
      <c r="F346" s="13"/>
      <c r="H346" s="13"/>
      <c r="I346" s="13"/>
      <c r="U346" s="13"/>
      <c r="W346" s="13"/>
      <c r="X346" s="13"/>
      <c r="Y346" s="13"/>
    </row>
    <row r="347" spans="6:25" x14ac:dyDescent="0.25">
      <c r="F347" s="13"/>
      <c r="H347" s="13"/>
      <c r="I347" s="13"/>
      <c r="J347" s="13"/>
      <c r="U347" s="13"/>
      <c r="W347" s="13"/>
      <c r="X347" s="13"/>
      <c r="Y347" s="13"/>
    </row>
    <row r="348" spans="6:25" x14ac:dyDescent="0.25">
      <c r="F348" s="13"/>
      <c r="H348" s="13"/>
      <c r="I348" s="13"/>
      <c r="J348" s="13"/>
      <c r="K348" s="13"/>
      <c r="L348" s="13"/>
      <c r="U348" s="13"/>
      <c r="W348" s="13"/>
      <c r="X348" s="13"/>
      <c r="Y348" s="13"/>
    </row>
    <row r="349" spans="6:25" x14ac:dyDescent="0.25">
      <c r="F349" s="13"/>
      <c r="H349" s="13"/>
      <c r="I349" s="13"/>
      <c r="U349" s="13"/>
      <c r="W349" s="13"/>
      <c r="X349" s="13"/>
      <c r="Y349" s="13"/>
    </row>
    <row r="350" spans="6:25" x14ac:dyDescent="0.25">
      <c r="F350" s="13"/>
      <c r="H350" s="13"/>
      <c r="I350" s="13"/>
      <c r="J350" s="13"/>
      <c r="U350" s="13"/>
      <c r="W350" s="13"/>
      <c r="X350" s="13"/>
      <c r="Y350" s="13"/>
    </row>
    <row r="351" spans="6:25" x14ac:dyDescent="0.25">
      <c r="F351" s="13"/>
      <c r="H351" s="13"/>
      <c r="I351" s="13"/>
      <c r="U351" s="13"/>
      <c r="W351" s="13"/>
      <c r="X351" s="13"/>
      <c r="Y351" s="13"/>
    </row>
    <row r="352" spans="6:25" x14ac:dyDescent="0.25">
      <c r="F352" s="13"/>
      <c r="H352" s="13"/>
      <c r="I352" s="13"/>
      <c r="J352" s="13"/>
      <c r="K352" s="13"/>
      <c r="U352" s="13"/>
      <c r="W352" s="13"/>
      <c r="X352" s="13"/>
      <c r="Y352" s="13"/>
    </row>
    <row r="353" spans="6:25" x14ac:dyDescent="0.25">
      <c r="F353" s="13"/>
      <c r="H353" s="13"/>
      <c r="I353" s="13"/>
      <c r="J353" s="13"/>
      <c r="U353" s="13"/>
      <c r="W353" s="13"/>
      <c r="X353" s="13"/>
      <c r="Y353" s="13"/>
    </row>
    <row r="354" spans="6:25" x14ac:dyDescent="0.25">
      <c r="F354" s="13"/>
      <c r="H354" s="13"/>
      <c r="I354" s="13"/>
      <c r="U354" s="13"/>
      <c r="W354" s="13"/>
      <c r="X354" s="13"/>
      <c r="Y354" s="13"/>
    </row>
    <row r="355" spans="6:25" x14ac:dyDescent="0.25">
      <c r="F355" s="13"/>
      <c r="H355" s="13"/>
      <c r="I355" s="13"/>
      <c r="J355" s="13"/>
      <c r="U355" s="13"/>
      <c r="W355" s="13"/>
      <c r="X355" s="13"/>
      <c r="Y355" s="13"/>
    </row>
    <row r="356" spans="6:25" x14ac:dyDescent="0.25">
      <c r="F356" s="13"/>
      <c r="H356" s="13"/>
      <c r="I356" s="13"/>
      <c r="U356" s="13"/>
      <c r="W356" s="13"/>
      <c r="X356" s="13"/>
      <c r="Y356" s="13"/>
    </row>
    <row r="357" spans="6:25" x14ac:dyDescent="0.25">
      <c r="F357" s="13"/>
      <c r="H357" s="13"/>
      <c r="I357" s="13"/>
      <c r="J357" s="13"/>
      <c r="K357" s="13"/>
      <c r="U357" s="13"/>
      <c r="W357" s="13"/>
      <c r="X357" s="13"/>
      <c r="Y357" s="13"/>
    </row>
    <row r="358" spans="6:25" x14ac:dyDescent="0.25">
      <c r="F358" s="13"/>
      <c r="H358" s="13"/>
      <c r="I358" s="13"/>
      <c r="J358" s="13"/>
      <c r="K358" s="13"/>
      <c r="U358" s="13"/>
      <c r="W358" s="13"/>
      <c r="X358" s="13"/>
      <c r="Y358" s="13"/>
    </row>
    <row r="359" spans="6:25" x14ac:dyDescent="0.25">
      <c r="F359" s="13"/>
      <c r="H359" s="13"/>
      <c r="I359" s="13"/>
      <c r="J359" s="13"/>
      <c r="S359" s="13"/>
      <c r="U359" s="13"/>
      <c r="W359" s="13"/>
      <c r="X359" s="13"/>
      <c r="Y359" s="13"/>
    </row>
    <row r="360" spans="6:25" x14ac:dyDescent="0.25">
      <c r="F360" s="13"/>
      <c r="H360" s="13"/>
      <c r="I360" s="13"/>
      <c r="U360" s="13"/>
      <c r="W360" s="13"/>
      <c r="X360" s="13"/>
      <c r="Y360" s="13"/>
    </row>
    <row r="361" spans="6:25" x14ac:dyDescent="0.25">
      <c r="F361" s="13"/>
      <c r="H361" s="13"/>
      <c r="I361" s="13"/>
      <c r="U361" s="13"/>
      <c r="W361" s="13"/>
      <c r="Y361" s="13"/>
    </row>
    <row r="362" spans="6:25" x14ac:dyDescent="0.25">
      <c r="F362" s="13"/>
      <c r="H362" s="13"/>
      <c r="I362" s="13"/>
      <c r="U362" s="13"/>
      <c r="W362" s="13"/>
      <c r="X362" s="13"/>
      <c r="Y362" s="13"/>
    </row>
    <row r="363" spans="6:25" x14ac:dyDescent="0.25">
      <c r="F363" s="13"/>
      <c r="H363" s="13"/>
      <c r="I363" s="13"/>
      <c r="J363" s="13"/>
      <c r="U363" s="13"/>
      <c r="W363" s="13"/>
      <c r="X363" s="13"/>
      <c r="Y363" s="13"/>
    </row>
    <row r="364" spans="6:25" x14ac:dyDescent="0.25">
      <c r="F364" s="13"/>
      <c r="H364" s="13"/>
      <c r="I364" s="13"/>
      <c r="U364" s="13"/>
      <c r="W364" s="13"/>
      <c r="X364" s="13"/>
      <c r="Y364" s="13"/>
    </row>
    <row r="365" spans="6:25" x14ac:dyDescent="0.25">
      <c r="F365" s="13"/>
      <c r="H365" s="13"/>
      <c r="I365" s="13"/>
      <c r="J365" s="13"/>
      <c r="U365" s="13"/>
      <c r="W365" s="13"/>
      <c r="X365" s="13"/>
      <c r="Y365" s="13"/>
    </row>
    <row r="366" spans="6:25" x14ac:dyDescent="0.25">
      <c r="F366" s="13"/>
      <c r="H366" s="13"/>
      <c r="I366" s="13"/>
      <c r="U366" s="13"/>
      <c r="W366" s="13"/>
      <c r="X366" s="13"/>
      <c r="Y366" s="13"/>
    </row>
    <row r="367" spans="6:25" x14ac:dyDescent="0.25">
      <c r="F367" s="13"/>
      <c r="H367" s="13"/>
      <c r="I367" s="13"/>
      <c r="J367" s="13"/>
      <c r="K367" s="13"/>
      <c r="L367" s="13"/>
      <c r="M367" s="13"/>
      <c r="U367" s="13"/>
      <c r="W367" s="13"/>
      <c r="X367" s="13"/>
      <c r="Y367" s="13"/>
    </row>
    <row r="368" spans="6:25" x14ac:dyDescent="0.25">
      <c r="F368" s="13"/>
      <c r="H368" s="13"/>
      <c r="I368" s="13"/>
      <c r="J368" s="13"/>
      <c r="U368" s="13"/>
      <c r="W368" s="13"/>
      <c r="X368" s="13"/>
      <c r="Y368" s="13"/>
    </row>
    <row r="369" spans="6:25" x14ac:dyDescent="0.25">
      <c r="F369" s="13"/>
      <c r="H369" s="13"/>
      <c r="I369" s="13"/>
      <c r="U369" s="13"/>
      <c r="W369" s="13"/>
      <c r="X369" s="13"/>
      <c r="Y369" s="13"/>
    </row>
    <row r="370" spans="6:25" x14ac:dyDescent="0.25">
      <c r="F370" s="13"/>
      <c r="H370" s="13"/>
      <c r="I370" s="13"/>
      <c r="J370" s="13"/>
      <c r="U370" s="13"/>
      <c r="W370" s="13"/>
      <c r="X370" s="13"/>
      <c r="Y370" s="13"/>
    </row>
    <row r="371" spans="6:25" x14ac:dyDescent="0.25">
      <c r="F371" s="13"/>
      <c r="H371" s="13"/>
      <c r="I371" s="13"/>
      <c r="U371" s="13"/>
      <c r="W371" s="13"/>
      <c r="X371" s="13"/>
      <c r="Y371" s="13"/>
    </row>
    <row r="372" spans="6:25" x14ac:dyDescent="0.25">
      <c r="F372" s="13"/>
      <c r="H372" s="13"/>
      <c r="I372" s="13"/>
      <c r="U372" s="13"/>
      <c r="W372" s="13"/>
      <c r="X372" s="13"/>
      <c r="Y372" s="13"/>
    </row>
    <row r="373" spans="6:25" x14ac:dyDescent="0.25">
      <c r="F373" s="13"/>
      <c r="H373" s="13"/>
      <c r="I373" s="13"/>
      <c r="U373" s="13"/>
      <c r="W373" s="13"/>
      <c r="X373" s="13"/>
      <c r="Y373" s="13"/>
    </row>
    <row r="374" spans="6:25" x14ac:dyDescent="0.25">
      <c r="F374" s="13"/>
      <c r="H374" s="13"/>
      <c r="I374" s="13"/>
      <c r="U374" s="13"/>
      <c r="W374" s="13"/>
      <c r="X374" s="13"/>
      <c r="Y374" s="13"/>
    </row>
    <row r="375" spans="6:25" x14ac:dyDescent="0.25">
      <c r="F375" s="13"/>
      <c r="H375" s="13"/>
      <c r="I375" s="13"/>
      <c r="U375" s="13"/>
      <c r="W375" s="13"/>
      <c r="X375" s="13"/>
      <c r="Y375" s="13"/>
    </row>
    <row r="376" spans="6:25" x14ac:dyDescent="0.25">
      <c r="F376" s="13"/>
      <c r="H376" s="13"/>
      <c r="I376" s="13"/>
      <c r="U376" s="13"/>
      <c r="W376" s="13"/>
      <c r="X376" s="13"/>
      <c r="Y376" s="13"/>
    </row>
    <row r="377" spans="6:25" x14ac:dyDescent="0.25">
      <c r="F377" s="13"/>
      <c r="H377" s="13"/>
      <c r="I377" s="13"/>
      <c r="U377" s="13"/>
      <c r="W377" s="13"/>
      <c r="X377" s="13"/>
      <c r="Y377" s="13"/>
    </row>
    <row r="378" spans="6:25" x14ac:dyDescent="0.25">
      <c r="F378" s="13"/>
      <c r="H378" s="13"/>
      <c r="I378" s="13"/>
      <c r="J378" s="13"/>
      <c r="K378" s="13"/>
      <c r="L378" s="13"/>
      <c r="U378" s="13"/>
      <c r="W378" s="13"/>
      <c r="X378" s="13"/>
      <c r="Y378" s="13"/>
    </row>
    <row r="379" spans="6:25" x14ac:dyDescent="0.25">
      <c r="F379" s="13"/>
      <c r="H379" s="13"/>
      <c r="I379" s="13"/>
      <c r="J379" s="13"/>
      <c r="K379" s="13"/>
      <c r="L379" s="13"/>
      <c r="U379" s="13"/>
      <c r="W379" s="13"/>
      <c r="X379" s="13"/>
      <c r="Y379" s="13"/>
    </row>
    <row r="380" spans="6:25" x14ac:dyDescent="0.25">
      <c r="F380" s="13"/>
      <c r="H380" s="13"/>
      <c r="I380" s="13"/>
      <c r="J380" s="13"/>
      <c r="U380" s="13"/>
      <c r="W380" s="13"/>
      <c r="X380" s="13"/>
      <c r="Y380" s="13"/>
    </row>
    <row r="381" spans="6:25" x14ac:dyDescent="0.25">
      <c r="F381" s="13"/>
      <c r="H381" s="13"/>
      <c r="I381" s="13"/>
      <c r="J381" s="13"/>
      <c r="U381" s="13"/>
      <c r="W381" s="13"/>
      <c r="X381" s="13"/>
      <c r="Y381" s="13"/>
    </row>
    <row r="382" spans="6:25" x14ac:dyDescent="0.25">
      <c r="F382" s="13"/>
      <c r="H382" s="13"/>
      <c r="I382" s="13"/>
      <c r="U382" s="13"/>
      <c r="W382" s="13"/>
      <c r="X382" s="13"/>
      <c r="Y382" s="13"/>
    </row>
    <row r="383" spans="6:25" x14ac:dyDescent="0.25">
      <c r="F383" s="13"/>
      <c r="H383" s="13"/>
      <c r="I383" s="13"/>
      <c r="J383" s="13"/>
      <c r="U383" s="13"/>
      <c r="W383" s="13"/>
      <c r="X383" s="13"/>
      <c r="Y383" s="13"/>
    </row>
    <row r="384" spans="6:25" x14ac:dyDescent="0.25">
      <c r="F384" s="13"/>
      <c r="H384" s="13"/>
      <c r="I384" s="13"/>
      <c r="J384" s="13"/>
      <c r="K384" s="13"/>
      <c r="L384" s="13"/>
      <c r="U384" s="13"/>
      <c r="W384" s="13"/>
      <c r="X384" s="13"/>
      <c r="Y384" s="13"/>
    </row>
    <row r="385" spans="6:25" x14ac:dyDescent="0.25">
      <c r="F385" s="13"/>
      <c r="H385" s="13"/>
      <c r="U385" s="13"/>
      <c r="Y385" s="13"/>
    </row>
    <row r="386" spans="6:25" x14ac:dyDescent="0.25">
      <c r="F386" s="13"/>
      <c r="H386" s="13"/>
      <c r="I386" s="13"/>
      <c r="J386" s="13"/>
      <c r="K386" s="13"/>
      <c r="U386" s="13"/>
      <c r="W386" s="13"/>
      <c r="Y386" s="13"/>
    </row>
    <row r="387" spans="6:25" x14ac:dyDescent="0.25">
      <c r="F387" s="13"/>
      <c r="H387" s="13"/>
      <c r="I387" s="13"/>
      <c r="J387" s="13"/>
      <c r="K387" s="13"/>
      <c r="U387" s="13"/>
      <c r="W387" s="13"/>
      <c r="X387" s="13"/>
      <c r="Y387" s="13"/>
    </row>
    <row r="388" spans="6:25" x14ac:dyDescent="0.25">
      <c r="F388" s="13"/>
      <c r="H388" s="13"/>
      <c r="I388" s="13"/>
      <c r="J388" s="13"/>
      <c r="K388" s="13"/>
      <c r="L388" s="13"/>
      <c r="U388" s="13"/>
      <c r="W388" s="13"/>
      <c r="Y388" s="13"/>
    </row>
    <row r="389" spans="6:25" x14ac:dyDescent="0.25">
      <c r="F389" s="13"/>
      <c r="H389" s="13"/>
      <c r="I389" s="13"/>
      <c r="J389" s="13"/>
      <c r="K389" s="13"/>
      <c r="U389" s="13"/>
      <c r="W389" s="13"/>
      <c r="Y389" s="13"/>
    </row>
    <row r="390" spans="6:25" x14ac:dyDescent="0.25">
      <c r="F390" s="13"/>
      <c r="H390" s="13"/>
      <c r="I390" s="13"/>
      <c r="J390" s="13"/>
      <c r="K390" s="13"/>
      <c r="L390" s="13"/>
      <c r="U390" s="13"/>
      <c r="W390" s="13"/>
      <c r="X390" s="13"/>
      <c r="Y390" s="13"/>
    </row>
    <row r="391" spans="6:25" x14ac:dyDescent="0.25">
      <c r="F391" s="13"/>
      <c r="H391" s="13"/>
      <c r="U391" s="13"/>
      <c r="W391" s="13"/>
      <c r="X391" s="13"/>
      <c r="Y391" s="13"/>
    </row>
    <row r="392" spans="6:25" x14ac:dyDescent="0.25">
      <c r="F392" s="13"/>
      <c r="H392" s="13"/>
      <c r="U392" s="13"/>
      <c r="W392" s="13"/>
      <c r="Y392" s="13"/>
    </row>
    <row r="393" spans="6:25" x14ac:dyDescent="0.25">
      <c r="F393" s="13"/>
      <c r="H393" s="13"/>
      <c r="I393" s="13"/>
      <c r="P393" s="13"/>
      <c r="S393" s="13"/>
      <c r="U393" s="13"/>
      <c r="W393" s="13"/>
      <c r="Y393" s="13"/>
    </row>
    <row r="394" spans="6:25" x14ac:dyDescent="0.25">
      <c r="F394" s="13"/>
      <c r="H394" s="13"/>
      <c r="I394" s="13"/>
      <c r="J394" s="13"/>
      <c r="U394" s="13"/>
      <c r="W394" s="13"/>
      <c r="Y394" s="13"/>
    </row>
    <row r="395" spans="6:25" x14ac:dyDescent="0.25">
      <c r="F395" s="13"/>
      <c r="H395" s="13"/>
      <c r="I395" s="13"/>
      <c r="U395" s="13"/>
      <c r="W395" s="13"/>
      <c r="Y395" s="13"/>
    </row>
    <row r="396" spans="6:25" x14ac:dyDescent="0.25">
      <c r="F396" s="13"/>
      <c r="H396" s="13"/>
      <c r="I396" s="13"/>
      <c r="U396" s="13"/>
      <c r="W396" s="13"/>
      <c r="Y396" s="13"/>
    </row>
    <row r="397" spans="6:25" x14ac:dyDescent="0.25">
      <c r="F397" s="13"/>
      <c r="H397" s="13"/>
      <c r="I397" s="13"/>
      <c r="J397" s="13"/>
      <c r="K397" s="13"/>
      <c r="U397" s="13"/>
      <c r="W397" s="13"/>
      <c r="X397" s="13"/>
      <c r="Y397" s="13"/>
    </row>
    <row r="398" spans="6:25" x14ac:dyDescent="0.25">
      <c r="F398" s="13"/>
      <c r="H398" s="13"/>
      <c r="I398" s="13"/>
      <c r="U398" s="13"/>
      <c r="W398" s="13"/>
      <c r="Y398" s="13"/>
    </row>
    <row r="399" spans="6:25" x14ac:dyDescent="0.25">
      <c r="F399" s="13"/>
      <c r="H399" s="13"/>
      <c r="I399" s="13"/>
      <c r="J399" s="13"/>
      <c r="K399" s="13"/>
      <c r="L399" s="13"/>
      <c r="U399" s="13"/>
      <c r="W399" s="13"/>
      <c r="X399" s="13"/>
      <c r="Y399" s="13"/>
    </row>
    <row r="400" spans="6:25" x14ac:dyDescent="0.25">
      <c r="F400" s="13"/>
      <c r="H400" s="13"/>
      <c r="I400" s="13"/>
      <c r="J400" s="13"/>
      <c r="U400" s="13"/>
      <c r="W400" s="13"/>
      <c r="X400" s="13"/>
      <c r="Y400" s="13"/>
    </row>
    <row r="401" spans="6:25" x14ac:dyDescent="0.25">
      <c r="F401" s="13"/>
      <c r="H401" s="13"/>
      <c r="I401" s="13"/>
      <c r="J401" s="13"/>
      <c r="K401" s="13"/>
      <c r="L401" s="13"/>
      <c r="M401" s="13"/>
      <c r="U401" s="13"/>
      <c r="W401" s="13"/>
      <c r="X401" s="13"/>
      <c r="Y401" s="13"/>
    </row>
    <row r="402" spans="6:25" x14ac:dyDescent="0.25">
      <c r="F402" s="13"/>
      <c r="H402" s="13"/>
      <c r="I402" s="13"/>
      <c r="U402" s="13"/>
      <c r="W402" s="13"/>
      <c r="X402" s="13"/>
      <c r="Y402" s="13"/>
    </row>
    <row r="403" spans="6:25" x14ac:dyDescent="0.25">
      <c r="F403" s="13"/>
      <c r="H403" s="13"/>
      <c r="I403" s="13"/>
      <c r="J403" s="13"/>
      <c r="U403" s="13"/>
      <c r="W403" s="13"/>
      <c r="Y403" s="13"/>
    </row>
    <row r="404" spans="6:25" x14ac:dyDescent="0.25">
      <c r="F404" s="13"/>
      <c r="H404" s="13"/>
      <c r="I404" s="13"/>
      <c r="J404" s="13"/>
      <c r="K404" s="13"/>
      <c r="U404" s="13"/>
      <c r="W404" s="13"/>
      <c r="Y404" s="13"/>
    </row>
    <row r="405" spans="6:25" x14ac:dyDescent="0.25">
      <c r="F405" s="13"/>
      <c r="H405" s="13"/>
      <c r="I405" s="13"/>
      <c r="U405" s="13"/>
      <c r="W405" s="13"/>
      <c r="Y405" s="13"/>
    </row>
    <row r="406" spans="6:25" x14ac:dyDescent="0.25">
      <c r="F406" s="13"/>
      <c r="H406" s="13"/>
      <c r="I406" s="13"/>
      <c r="J406" s="13"/>
      <c r="K406" s="13"/>
      <c r="U406" s="13"/>
      <c r="W406" s="13"/>
      <c r="X406" s="13"/>
      <c r="Y406" s="13"/>
    </row>
    <row r="407" spans="6:25" x14ac:dyDescent="0.25">
      <c r="F407" s="13"/>
      <c r="H407" s="13"/>
      <c r="I407" s="13"/>
      <c r="U407" s="13"/>
      <c r="W407" s="13"/>
      <c r="X407" s="13"/>
      <c r="Y407" s="13"/>
    </row>
    <row r="408" spans="6:25" x14ac:dyDescent="0.25">
      <c r="F408" s="13"/>
      <c r="H408" s="13"/>
      <c r="I408" s="13"/>
      <c r="U408" s="13"/>
      <c r="W408" s="13"/>
      <c r="X408" s="13"/>
      <c r="Y408" s="13"/>
    </row>
    <row r="409" spans="6:25" x14ac:dyDescent="0.25">
      <c r="F409" s="13"/>
      <c r="H409" s="13"/>
      <c r="I409" s="13"/>
      <c r="J409" s="13"/>
      <c r="U409" s="13"/>
      <c r="W409" s="13"/>
      <c r="X409" s="13"/>
      <c r="Y409" s="13"/>
    </row>
    <row r="410" spans="6:25" x14ac:dyDescent="0.25">
      <c r="F410" s="13"/>
      <c r="H410" s="13"/>
      <c r="I410" s="13"/>
      <c r="J410" s="13"/>
      <c r="K410" s="13"/>
      <c r="U410" s="13"/>
      <c r="Y410" s="13"/>
    </row>
    <row r="411" spans="6:25" x14ac:dyDescent="0.25">
      <c r="F411" s="13"/>
      <c r="H411" s="13"/>
      <c r="I411" s="13"/>
      <c r="J411" s="13"/>
      <c r="K411" s="13"/>
      <c r="U411" s="13"/>
      <c r="W411" s="13"/>
      <c r="X411" s="13"/>
      <c r="Y411" s="13"/>
    </row>
    <row r="412" spans="6:25" x14ac:dyDescent="0.25">
      <c r="F412" s="13"/>
      <c r="H412" s="13"/>
      <c r="I412" s="13"/>
      <c r="U412" s="13"/>
      <c r="W412" s="13"/>
      <c r="X412" s="13"/>
      <c r="Y412" s="13"/>
    </row>
    <row r="413" spans="6:25" x14ac:dyDescent="0.25">
      <c r="F413" s="13"/>
      <c r="H413" s="13"/>
      <c r="I413" s="13"/>
      <c r="J413" s="13"/>
      <c r="U413" s="13"/>
      <c r="W413" s="13"/>
      <c r="X413" s="13"/>
      <c r="Y413" s="13"/>
    </row>
    <row r="414" spans="6:25" x14ac:dyDescent="0.25">
      <c r="F414" s="13"/>
      <c r="H414" s="13"/>
      <c r="I414" s="13"/>
      <c r="J414" s="13"/>
      <c r="L414" s="13"/>
      <c r="M414" s="13"/>
      <c r="N414" s="13"/>
      <c r="O414" s="13"/>
      <c r="U414" s="13"/>
      <c r="W414" s="13"/>
      <c r="X414" s="13"/>
      <c r="Y414" s="13"/>
    </row>
    <row r="415" spans="6:25" x14ac:dyDescent="0.25">
      <c r="F415" s="13"/>
      <c r="H415" s="13"/>
      <c r="I415" s="13"/>
      <c r="U415" s="13"/>
      <c r="W415" s="13"/>
      <c r="X415" s="13"/>
      <c r="Y415" s="13"/>
    </row>
    <row r="416" spans="6:25" x14ac:dyDescent="0.25">
      <c r="F416" s="13"/>
      <c r="H416" s="13"/>
      <c r="I416" s="13"/>
      <c r="U416" s="13"/>
      <c r="W416" s="13"/>
      <c r="Y416" s="13"/>
    </row>
    <row r="417" spans="6:25" x14ac:dyDescent="0.25">
      <c r="F417" s="13"/>
      <c r="H417" s="13"/>
      <c r="I417" s="13"/>
      <c r="J417" s="13"/>
      <c r="U417" s="13"/>
      <c r="W417" s="13"/>
      <c r="Y417" s="13"/>
    </row>
    <row r="418" spans="6:25" x14ac:dyDescent="0.25">
      <c r="F418" s="13"/>
      <c r="H418" s="13"/>
      <c r="I418" s="13"/>
      <c r="U418" s="13"/>
      <c r="W418" s="13"/>
      <c r="X418" s="13"/>
      <c r="Y418" s="13"/>
    </row>
    <row r="419" spans="6:25" x14ac:dyDescent="0.25">
      <c r="F419" s="13"/>
      <c r="H419" s="13"/>
      <c r="I419" s="13"/>
      <c r="U419" s="13"/>
      <c r="W419" s="13"/>
      <c r="X419" s="13"/>
      <c r="Y419" s="13"/>
    </row>
    <row r="420" spans="6:25" x14ac:dyDescent="0.25">
      <c r="F420" s="13"/>
      <c r="H420" s="13"/>
      <c r="I420" s="13"/>
      <c r="J420" s="13"/>
      <c r="U420" s="13"/>
      <c r="W420" s="13"/>
      <c r="Y420" s="13"/>
    </row>
    <row r="421" spans="6:25" x14ac:dyDescent="0.25">
      <c r="F421" s="13"/>
      <c r="H421" s="13"/>
      <c r="I421" s="13"/>
      <c r="U421" s="13"/>
      <c r="W421" s="13"/>
      <c r="X421" s="13"/>
      <c r="Y421" s="13"/>
    </row>
    <row r="422" spans="6:25" x14ac:dyDescent="0.25">
      <c r="F422" s="13"/>
      <c r="H422" s="13"/>
      <c r="I422" s="13"/>
      <c r="U422" s="13"/>
      <c r="W422" s="13"/>
      <c r="X422" s="13"/>
      <c r="Y422" s="13"/>
    </row>
    <row r="423" spans="6:25" x14ac:dyDescent="0.25">
      <c r="F423" s="13"/>
      <c r="H423" s="13"/>
      <c r="I423" s="13"/>
      <c r="J423" s="13"/>
      <c r="U423" s="13"/>
      <c r="W423" s="13"/>
      <c r="X423" s="13"/>
      <c r="Y423" s="13"/>
    </row>
    <row r="424" spans="6:25" x14ac:dyDescent="0.25">
      <c r="F424" s="13"/>
      <c r="H424" s="13"/>
      <c r="I424" s="13"/>
      <c r="U424" s="13"/>
      <c r="W424" s="13"/>
      <c r="Y424" s="13"/>
    </row>
    <row r="425" spans="6:25" x14ac:dyDescent="0.25">
      <c r="F425" s="13"/>
      <c r="H425" s="13"/>
      <c r="I425" s="13"/>
      <c r="J425" s="13"/>
      <c r="U425" s="13"/>
      <c r="W425" s="13"/>
      <c r="Y425" s="13"/>
    </row>
    <row r="426" spans="6:25" x14ac:dyDescent="0.25">
      <c r="F426" s="13"/>
      <c r="H426" s="13"/>
      <c r="I426" s="13"/>
      <c r="U426" s="13"/>
      <c r="W426" s="13"/>
      <c r="X426" s="13"/>
      <c r="Y426" s="13"/>
    </row>
    <row r="427" spans="6:25" x14ac:dyDescent="0.25">
      <c r="F427" s="13"/>
      <c r="H427" s="13"/>
      <c r="I427" s="13"/>
      <c r="U427" s="13"/>
      <c r="W427" s="13"/>
      <c r="X427" s="13"/>
      <c r="Y427" s="13"/>
    </row>
    <row r="428" spans="6:25" x14ac:dyDescent="0.25">
      <c r="F428" s="13"/>
      <c r="H428" s="13"/>
      <c r="I428" s="13"/>
      <c r="J428" s="13"/>
      <c r="K428" s="13"/>
      <c r="U428" s="13"/>
      <c r="W428" s="13"/>
      <c r="X428" s="13"/>
      <c r="Y428" s="13"/>
    </row>
    <row r="429" spans="6:25" x14ac:dyDescent="0.25">
      <c r="F429" s="13"/>
      <c r="H429" s="13"/>
      <c r="I429" s="13"/>
      <c r="U429" s="13"/>
      <c r="W429" s="13"/>
      <c r="X429" s="13"/>
      <c r="Y429" s="13"/>
    </row>
    <row r="430" spans="6:25" x14ac:dyDescent="0.25">
      <c r="F430" s="13"/>
      <c r="H430" s="13"/>
      <c r="U430" s="13"/>
      <c r="Y430" s="13"/>
    </row>
    <row r="431" spans="6:25" x14ac:dyDescent="0.25">
      <c r="F431" s="13"/>
      <c r="H431" s="13"/>
      <c r="I431" s="13"/>
      <c r="J431" s="13"/>
      <c r="K431" s="13"/>
      <c r="U431" s="13"/>
      <c r="W431" s="13"/>
      <c r="X431" s="13"/>
      <c r="Y431" s="13"/>
    </row>
    <row r="432" spans="6:25" x14ac:dyDescent="0.25">
      <c r="F432" s="13"/>
      <c r="H432" s="13"/>
      <c r="I432" s="13"/>
      <c r="J432" s="13"/>
      <c r="U432" s="13"/>
      <c r="W432" s="13"/>
      <c r="X432" s="13"/>
      <c r="Y432" s="13"/>
    </row>
    <row r="433" spans="6:25" x14ac:dyDescent="0.25">
      <c r="F433" s="13"/>
      <c r="H433" s="13"/>
      <c r="I433" s="13"/>
      <c r="J433" s="13"/>
      <c r="K433" s="13"/>
      <c r="U433" s="13"/>
      <c r="W433" s="13"/>
      <c r="Y433" s="13"/>
    </row>
    <row r="434" spans="6:25" x14ac:dyDescent="0.25">
      <c r="F434" s="13"/>
      <c r="H434" s="13"/>
      <c r="I434" s="13"/>
      <c r="J434" s="13"/>
      <c r="U434" s="13"/>
      <c r="W434" s="13"/>
      <c r="Y434" s="13"/>
    </row>
    <row r="435" spans="6:25" x14ac:dyDescent="0.25">
      <c r="F435" s="13"/>
      <c r="H435" s="13"/>
      <c r="I435" s="13"/>
      <c r="J435" s="13"/>
      <c r="U435" s="13"/>
      <c r="W435" s="13"/>
      <c r="X435" s="13"/>
      <c r="Y435" s="13"/>
    </row>
    <row r="436" spans="6:25" x14ac:dyDescent="0.25">
      <c r="F436" s="13"/>
      <c r="H436" s="13"/>
      <c r="I436" s="13"/>
      <c r="U436" s="13"/>
      <c r="W436" s="13"/>
      <c r="X436" s="13"/>
      <c r="Y436" s="13"/>
    </row>
    <row r="437" spans="6:25" x14ac:dyDescent="0.25">
      <c r="F437" s="13"/>
      <c r="H437" s="13"/>
      <c r="I437" s="13"/>
      <c r="J437" s="13"/>
      <c r="U437" s="13"/>
      <c r="W437" s="13"/>
      <c r="X437" s="13"/>
      <c r="Y437" s="13"/>
    </row>
    <row r="438" spans="6:25" x14ac:dyDescent="0.25">
      <c r="F438" s="13"/>
      <c r="H438" s="13"/>
      <c r="I438" s="13"/>
      <c r="J438" s="13"/>
      <c r="U438" s="13"/>
      <c r="W438" s="13"/>
      <c r="X438" s="13"/>
      <c r="Y438" s="13"/>
    </row>
    <row r="439" spans="6:25" x14ac:dyDescent="0.25">
      <c r="F439" s="13"/>
      <c r="H439" s="13"/>
      <c r="I439" s="13"/>
      <c r="U439" s="13"/>
      <c r="W439" s="13"/>
      <c r="Y439" s="13"/>
    </row>
    <row r="440" spans="6:25" x14ac:dyDescent="0.25">
      <c r="F440" s="13"/>
      <c r="H440" s="13"/>
      <c r="I440" s="13"/>
      <c r="U440" s="13"/>
      <c r="W440" s="13"/>
      <c r="X440" s="13"/>
      <c r="Y440" s="13"/>
    </row>
    <row r="441" spans="6:25" x14ac:dyDescent="0.25">
      <c r="F441" s="13"/>
      <c r="H441" s="13"/>
      <c r="I441" s="13"/>
      <c r="J441" s="13"/>
      <c r="U441" s="13"/>
      <c r="W441" s="13"/>
      <c r="X441" s="13"/>
      <c r="Y441" s="13"/>
    </row>
    <row r="442" spans="6:25" x14ac:dyDescent="0.25">
      <c r="F442" s="13"/>
      <c r="H442" s="13"/>
      <c r="I442" s="13"/>
      <c r="U442" s="13"/>
      <c r="W442" s="13"/>
      <c r="X442" s="13"/>
      <c r="Y442" s="13"/>
    </row>
    <row r="443" spans="6:25" x14ac:dyDescent="0.25">
      <c r="F443" s="13"/>
      <c r="H443" s="13"/>
      <c r="I443" s="13"/>
      <c r="J443" s="13"/>
      <c r="K443" s="13"/>
      <c r="L443" s="13"/>
      <c r="M443" s="13"/>
      <c r="N443" s="13"/>
      <c r="U443" s="13"/>
      <c r="W443" s="13"/>
      <c r="X443" s="13"/>
      <c r="Y443" s="13"/>
    </row>
    <row r="444" spans="6:25" x14ac:dyDescent="0.25">
      <c r="F444" s="13"/>
      <c r="H444" s="13"/>
      <c r="I444" s="13"/>
      <c r="J444" s="13"/>
      <c r="K444" s="13"/>
      <c r="U444" s="13"/>
      <c r="W444" s="13"/>
      <c r="X444" s="13"/>
      <c r="Y444" s="13"/>
    </row>
    <row r="445" spans="6:25" x14ac:dyDescent="0.25">
      <c r="F445" s="13"/>
      <c r="H445" s="13"/>
      <c r="I445" s="13"/>
      <c r="U445" s="13"/>
      <c r="W445" s="13"/>
      <c r="X445" s="13"/>
      <c r="Y445" s="13"/>
    </row>
    <row r="446" spans="6:25" x14ac:dyDescent="0.25">
      <c r="F446" s="13"/>
      <c r="H446" s="13"/>
      <c r="I446" s="13"/>
      <c r="J446" s="13"/>
      <c r="U446" s="13"/>
      <c r="W446" s="13"/>
      <c r="X446" s="13"/>
      <c r="Y446" s="13"/>
    </row>
    <row r="447" spans="6:25" x14ac:dyDescent="0.25">
      <c r="F447" s="13"/>
      <c r="H447" s="13"/>
      <c r="I447" s="13"/>
      <c r="U447" s="13"/>
      <c r="W447" s="13"/>
      <c r="X447" s="13"/>
      <c r="Y447" s="13"/>
    </row>
    <row r="448" spans="6:25" x14ac:dyDescent="0.25">
      <c r="F448" s="13"/>
      <c r="H448" s="13"/>
      <c r="I448" s="13"/>
      <c r="U448" s="13"/>
      <c r="W448" s="13"/>
      <c r="X448" s="13"/>
      <c r="Y448" s="13"/>
    </row>
    <row r="449" spans="6:25" x14ac:dyDescent="0.25">
      <c r="F449" s="13"/>
      <c r="H449" s="13"/>
      <c r="I449" s="13"/>
      <c r="U449" s="13"/>
      <c r="W449" s="13"/>
      <c r="X449" s="13"/>
      <c r="Y449" s="13"/>
    </row>
    <row r="450" spans="6:25" x14ac:dyDescent="0.25">
      <c r="F450" s="13"/>
      <c r="H450" s="13"/>
      <c r="I450" s="13"/>
      <c r="J450" s="13"/>
      <c r="U450" s="13"/>
      <c r="W450" s="13"/>
      <c r="X450" s="13"/>
      <c r="Y450" s="13"/>
    </row>
    <row r="451" spans="6:25" x14ac:dyDescent="0.25">
      <c r="F451" s="13"/>
      <c r="H451" s="13"/>
      <c r="I451" s="13"/>
      <c r="U451" s="13"/>
      <c r="W451" s="13"/>
      <c r="X451" s="13"/>
      <c r="Y451" s="13"/>
    </row>
    <row r="452" spans="6:25" x14ac:dyDescent="0.25">
      <c r="F452" s="13"/>
      <c r="H452" s="13"/>
      <c r="I452" s="13"/>
      <c r="J452" s="13"/>
      <c r="U452" s="13"/>
      <c r="W452" s="13"/>
      <c r="X452" s="13"/>
      <c r="Y452" s="13"/>
    </row>
    <row r="453" spans="6:25" x14ac:dyDescent="0.25">
      <c r="F453" s="13"/>
      <c r="H453" s="13"/>
      <c r="I453" s="13"/>
      <c r="J453" s="13"/>
      <c r="K453" s="13"/>
      <c r="U453" s="13"/>
      <c r="W453" s="13"/>
      <c r="Y453" s="13"/>
    </row>
    <row r="454" spans="6:25" x14ac:dyDescent="0.25">
      <c r="F454" s="13"/>
      <c r="H454" s="13"/>
      <c r="I454" s="13"/>
      <c r="J454" s="13"/>
      <c r="K454" s="13"/>
      <c r="U454" s="13"/>
      <c r="W454" s="13"/>
      <c r="X454" s="13"/>
      <c r="Y454" s="13"/>
    </row>
    <row r="455" spans="6:25" x14ac:dyDescent="0.25">
      <c r="F455" s="13"/>
      <c r="H455" s="13"/>
      <c r="I455" s="13"/>
      <c r="J455" s="13"/>
      <c r="K455" s="13"/>
      <c r="U455" s="13"/>
      <c r="W455" s="13"/>
      <c r="X455" s="13"/>
      <c r="Y455" s="13"/>
    </row>
    <row r="456" spans="6:25" x14ac:dyDescent="0.25">
      <c r="F456" s="13"/>
      <c r="H456" s="13"/>
      <c r="I456" s="13"/>
      <c r="J456" s="13"/>
      <c r="U456" s="13"/>
      <c r="W456" s="13"/>
      <c r="X456" s="13"/>
      <c r="Y456" s="13"/>
    </row>
    <row r="457" spans="6:25" x14ac:dyDescent="0.25">
      <c r="F457" s="13"/>
      <c r="H457" s="13"/>
      <c r="I457" s="13"/>
      <c r="U457" s="13"/>
      <c r="Y457" s="13"/>
    </row>
    <row r="458" spans="6:25" x14ac:dyDescent="0.25">
      <c r="F458" s="13"/>
      <c r="H458" s="13"/>
      <c r="I458" s="13"/>
      <c r="J458" s="13"/>
      <c r="K458" s="13"/>
      <c r="L458" s="13"/>
      <c r="U458" s="13"/>
      <c r="W458" s="13"/>
      <c r="X458" s="13"/>
      <c r="Y458" s="13"/>
    </row>
    <row r="459" spans="6:25" x14ac:dyDescent="0.25">
      <c r="F459" s="13"/>
      <c r="H459" s="13"/>
      <c r="I459" s="13"/>
      <c r="J459" s="13"/>
      <c r="S459" s="13"/>
      <c r="U459" s="13"/>
      <c r="W459" s="13"/>
      <c r="Y459" s="13"/>
    </row>
    <row r="460" spans="6:25" x14ac:dyDescent="0.25">
      <c r="F460" s="13"/>
      <c r="H460" s="13"/>
      <c r="I460" s="13"/>
      <c r="P460" s="13"/>
      <c r="U460" s="13"/>
      <c r="Y460" s="13"/>
    </row>
    <row r="461" spans="6:25" x14ac:dyDescent="0.25">
      <c r="F461" s="13"/>
      <c r="H461" s="13"/>
      <c r="I461" s="13"/>
      <c r="J461" s="13"/>
      <c r="U461" s="13"/>
      <c r="Y461" s="13"/>
    </row>
    <row r="462" spans="6:25" x14ac:dyDescent="0.25">
      <c r="F462" s="13"/>
      <c r="H462" s="13"/>
      <c r="I462" s="13"/>
      <c r="J462" s="13"/>
      <c r="U462" s="13"/>
      <c r="Y462" s="13"/>
    </row>
    <row r="463" spans="6:25" x14ac:dyDescent="0.25">
      <c r="F463" s="13"/>
      <c r="H463" s="13"/>
      <c r="I463" s="13"/>
      <c r="P463" s="13"/>
      <c r="U463" s="13"/>
      <c r="Y463" s="13"/>
    </row>
    <row r="464" spans="6:25" x14ac:dyDescent="0.25">
      <c r="F464" s="13"/>
      <c r="H464" s="13"/>
      <c r="I464" s="13"/>
      <c r="U464" s="13"/>
      <c r="W464" s="13"/>
      <c r="X464" s="13"/>
      <c r="Y464" s="13"/>
    </row>
    <row r="465" spans="6:25" x14ac:dyDescent="0.25">
      <c r="F465" s="13"/>
      <c r="H465" s="13"/>
      <c r="I465" s="13"/>
      <c r="U465" s="13"/>
      <c r="W465" s="13"/>
      <c r="X465" s="13"/>
      <c r="Y465" s="13"/>
    </row>
    <row r="466" spans="6:25" x14ac:dyDescent="0.25">
      <c r="F466" s="13"/>
      <c r="H466" s="13"/>
      <c r="I466" s="13"/>
      <c r="J466" s="13"/>
      <c r="K466" s="13"/>
      <c r="U466" s="13"/>
      <c r="W466" s="13"/>
      <c r="X466" s="13"/>
      <c r="Y466" s="13"/>
    </row>
    <row r="467" spans="6:25" x14ac:dyDescent="0.25">
      <c r="F467" s="13"/>
      <c r="H467" s="13"/>
      <c r="I467" s="13"/>
      <c r="J467" s="13"/>
      <c r="U467" s="13"/>
      <c r="Y467" s="13"/>
    </row>
    <row r="468" spans="6:25" x14ac:dyDescent="0.25">
      <c r="F468" s="13"/>
      <c r="H468" s="13"/>
      <c r="I468" s="13"/>
      <c r="U468" s="13"/>
      <c r="W468" s="13"/>
      <c r="X468" s="13"/>
      <c r="Y468" s="13"/>
    </row>
    <row r="469" spans="6:25" x14ac:dyDescent="0.25">
      <c r="F469" s="13"/>
      <c r="H469" s="13"/>
      <c r="I469" s="13"/>
      <c r="J469" s="13"/>
      <c r="U469" s="13"/>
      <c r="W469" s="13"/>
      <c r="Y469" s="13"/>
    </row>
    <row r="470" spans="6:25" x14ac:dyDescent="0.25">
      <c r="F470" s="13"/>
      <c r="H470" s="13"/>
      <c r="I470" s="13"/>
      <c r="J470" s="13"/>
      <c r="K470" s="13"/>
      <c r="U470" s="13"/>
      <c r="W470" s="13"/>
      <c r="X470" s="13"/>
      <c r="Y470" s="13"/>
    </row>
    <row r="471" spans="6:25" x14ac:dyDescent="0.25">
      <c r="F471" s="13"/>
      <c r="H471" s="13"/>
      <c r="I471" s="13"/>
      <c r="J471" s="13"/>
      <c r="U471" s="13"/>
      <c r="W471" s="13"/>
      <c r="X471" s="13"/>
      <c r="Y471" s="13"/>
    </row>
    <row r="472" spans="6:25" x14ac:dyDescent="0.25">
      <c r="F472" s="13"/>
      <c r="H472" s="13"/>
      <c r="I472" s="13"/>
      <c r="J472" s="13"/>
      <c r="K472" s="13"/>
      <c r="L472" s="13"/>
      <c r="S472" s="13"/>
      <c r="U472" s="13"/>
      <c r="W472" s="13"/>
      <c r="X472" s="13"/>
      <c r="Y472" s="13"/>
    </row>
    <row r="473" spans="6:25" x14ac:dyDescent="0.25">
      <c r="F473" s="13"/>
      <c r="H473" s="13"/>
      <c r="I473" s="13"/>
      <c r="U473" s="13"/>
      <c r="W473" s="13"/>
      <c r="X473" s="13"/>
      <c r="Y473" s="13"/>
    </row>
    <row r="474" spans="6:25" x14ac:dyDescent="0.25">
      <c r="F474" s="13"/>
      <c r="H474" s="13"/>
      <c r="I474" s="13"/>
      <c r="J474" s="13"/>
      <c r="U474" s="13"/>
      <c r="W474" s="13"/>
      <c r="X474" s="13"/>
      <c r="Y474" s="13"/>
    </row>
    <row r="475" spans="6:25" x14ac:dyDescent="0.25">
      <c r="F475" s="13"/>
      <c r="H475" s="13"/>
      <c r="I475" s="13"/>
      <c r="U475" s="13"/>
      <c r="W475" s="13"/>
      <c r="X475" s="13"/>
      <c r="Y475" s="13"/>
    </row>
    <row r="476" spans="6:25" x14ac:dyDescent="0.25">
      <c r="F476" s="13"/>
      <c r="H476" s="13"/>
      <c r="S476" s="13"/>
      <c r="U476" s="13"/>
      <c r="W476" s="13"/>
      <c r="Y476" s="13"/>
    </row>
    <row r="477" spans="6:25" x14ac:dyDescent="0.25">
      <c r="F477" s="13"/>
      <c r="H477" s="13"/>
      <c r="I477" s="13"/>
      <c r="J477" s="13"/>
      <c r="K477" s="13"/>
      <c r="U477" s="13"/>
      <c r="W477" s="13"/>
      <c r="X477" s="13"/>
      <c r="Y477" s="13"/>
    </row>
    <row r="478" spans="6:25" x14ac:dyDescent="0.25">
      <c r="F478" s="13"/>
      <c r="H478" s="13"/>
      <c r="I478" s="13"/>
      <c r="J478" s="13"/>
      <c r="K478" s="13"/>
      <c r="L478" s="13"/>
      <c r="U478" s="13"/>
      <c r="W478" s="13"/>
      <c r="X478" s="13"/>
      <c r="Y478" s="13"/>
    </row>
    <row r="479" spans="6:25" x14ac:dyDescent="0.25">
      <c r="F479" s="13"/>
      <c r="H479" s="13"/>
      <c r="I479" s="13"/>
      <c r="U479" s="13"/>
      <c r="W479" s="13"/>
      <c r="Y479" s="13"/>
    </row>
    <row r="480" spans="6:25" x14ac:dyDescent="0.25">
      <c r="F480" s="13"/>
      <c r="H480" s="13"/>
      <c r="I480" s="13"/>
      <c r="J480" s="13"/>
      <c r="K480" s="13"/>
      <c r="U480" s="13"/>
      <c r="W480" s="13"/>
      <c r="X480" s="13"/>
      <c r="Y480" s="13"/>
    </row>
    <row r="481" spans="6:25" x14ac:dyDescent="0.25">
      <c r="F481" s="13"/>
      <c r="H481" s="13"/>
      <c r="I481" s="13"/>
      <c r="J481" s="13"/>
      <c r="K481" s="13"/>
      <c r="L481" s="13"/>
      <c r="M481" s="13"/>
      <c r="N481" s="13"/>
      <c r="O481" s="13"/>
      <c r="P481" s="13"/>
      <c r="Q481" s="13"/>
      <c r="U481" s="13"/>
      <c r="W481" s="13"/>
      <c r="X481" s="13"/>
      <c r="Y481" s="13"/>
    </row>
    <row r="482" spans="6:25" x14ac:dyDescent="0.25">
      <c r="F482" s="13"/>
      <c r="H482" s="13"/>
      <c r="I482" s="13"/>
      <c r="J482" s="13"/>
      <c r="K482" s="13"/>
      <c r="L482" s="13"/>
      <c r="S482" s="13"/>
      <c r="U482" s="13"/>
      <c r="W482" s="13"/>
      <c r="Y482" s="13"/>
    </row>
    <row r="483" spans="6:25" x14ac:dyDescent="0.25">
      <c r="F483" s="13"/>
      <c r="H483" s="13"/>
      <c r="I483" s="13"/>
      <c r="J483" s="13"/>
      <c r="K483" s="13"/>
      <c r="L483" s="13"/>
      <c r="M483" s="13"/>
      <c r="N483" s="13"/>
      <c r="O483" s="13"/>
      <c r="U483" s="13"/>
      <c r="W483" s="13"/>
      <c r="X483" s="13"/>
      <c r="Y483" s="13"/>
    </row>
    <row r="484" spans="6:25" x14ac:dyDescent="0.25">
      <c r="F484" s="13"/>
      <c r="H484" s="13"/>
      <c r="I484" s="13"/>
      <c r="U484" s="13"/>
      <c r="W484" s="13"/>
      <c r="X484" s="13"/>
      <c r="Y484" s="13"/>
    </row>
    <row r="485" spans="6:25" x14ac:dyDescent="0.25">
      <c r="F485" s="13"/>
      <c r="H485" s="13"/>
      <c r="I485" s="13"/>
      <c r="U485" s="13"/>
      <c r="W485" s="13"/>
      <c r="X485" s="13"/>
      <c r="Y485" s="13"/>
    </row>
    <row r="486" spans="6:25" x14ac:dyDescent="0.25">
      <c r="F486" s="13"/>
      <c r="H486" s="13"/>
      <c r="I486" s="13"/>
      <c r="J486" s="13"/>
      <c r="K486" s="13"/>
      <c r="U486" s="13"/>
      <c r="W486" s="13"/>
      <c r="X486" s="13"/>
      <c r="Y486" s="13"/>
    </row>
    <row r="487" spans="6:25" x14ac:dyDescent="0.25">
      <c r="F487" s="13"/>
      <c r="H487" s="13"/>
      <c r="U487" s="13"/>
      <c r="W487" s="13"/>
      <c r="X487" s="13"/>
      <c r="Y487" s="13"/>
    </row>
    <row r="488" spans="6:25" x14ac:dyDescent="0.25">
      <c r="F488" s="13"/>
      <c r="H488" s="13"/>
      <c r="I488" s="13"/>
      <c r="J488" s="13"/>
      <c r="K488" s="13"/>
      <c r="R488" s="13"/>
      <c r="U488" s="13"/>
      <c r="W488" s="13"/>
      <c r="X488" s="13"/>
      <c r="Y488" s="13"/>
    </row>
    <row r="489" spans="6:25" x14ac:dyDescent="0.25">
      <c r="F489" s="13"/>
      <c r="H489" s="13"/>
      <c r="I489" s="13"/>
      <c r="S489" s="13"/>
      <c r="U489" s="13"/>
      <c r="W489" s="13"/>
      <c r="Y489" s="13"/>
    </row>
    <row r="490" spans="6:25" x14ac:dyDescent="0.25">
      <c r="F490" s="13"/>
      <c r="H490" s="13"/>
      <c r="I490" s="13"/>
      <c r="J490" s="13"/>
      <c r="U490" s="13"/>
      <c r="W490" s="13"/>
      <c r="X490" s="13"/>
      <c r="Y490" s="13"/>
    </row>
    <row r="491" spans="6:25" x14ac:dyDescent="0.25">
      <c r="F491" s="13"/>
      <c r="H491" s="13"/>
      <c r="I491" s="13"/>
      <c r="J491" s="13"/>
      <c r="K491" s="13"/>
      <c r="U491" s="13"/>
      <c r="W491" s="13"/>
      <c r="X491" s="13"/>
      <c r="Y491" s="13"/>
    </row>
    <row r="492" spans="6:25" x14ac:dyDescent="0.25">
      <c r="F492" s="13"/>
      <c r="H492" s="13"/>
      <c r="J492" s="13"/>
      <c r="K492" s="13"/>
      <c r="U492" s="13"/>
      <c r="W492" s="13"/>
      <c r="X492" s="13"/>
      <c r="Y492" s="13"/>
    </row>
    <row r="493" spans="6:25" x14ac:dyDescent="0.25">
      <c r="F493" s="13"/>
      <c r="H493" s="13"/>
      <c r="I493" s="13"/>
      <c r="U493" s="13"/>
      <c r="W493" s="13"/>
      <c r="X493" s="13"/>
      <c r="Y493" s="13"/>
    </row>
    <row r="494" spans="6:25" x14ac:dyDescent="0.25">
      <c r="F494" s="13"/>
      <c r="H494" s="13"/>
      <c r="I494" s="13"/>
      <c r="U494" s="13"/>
      <c r="W494" s="13"/>
      <c r="Y494" s="13"/>
    </row>
    <row r="495" spans="6:25" x14ac:dyDescent="0.25">
      <c r="F495" s="13"/>
      <c r="H495" s="13"/>
      <c r="I495" s="13"/>
      <c r="J495" s="13"/>
      <c r="U495" s="13"/>
      <c r="W495" s="13"/>
      <c r="X495" s="13"/>
      <c r="Y495" s="13"/>
    </row>
    <row r="496" spans="6:25" x14ac:dyDescent="0.25">
      <c r="F496" s="13"/>
      <c r="H496" s="13"/>
      <c r="I496" s="13"/>
      <c r="U496" s="13"/>
      <c r="W496" s="13"/>
      <c r="X496" s="13"/>
      <c r="Y496" s="13"/>
    </row>
    <row r="497" spans="6:25" x14ac:dyDescent="0.25">
      <c r="F497" s="13"/>
      <c r="H497" s="13"/>
      <c r="I497" s="13"/>
      <c r="J497" s="13"/>
      <c r="T497" s="13"/>
      <c r="U497" s="13"/>
      <c r="W497" s="13"/>
      <c r="X497" s="13"/>
      <c r="Y497" s="13"/>
    </row>
    <row r="498" spans="6:25" x14ac:dyDescent="0.25">
      <c r="F498" s="13"/>
      <c r="H498" s="13"/>
      <c r="I498" s="13"/>
      <c r="J498" s="13"/>
      <c r="K498" s="13"/>
      <c r="U498" s="13"/>
      <c r="W498" s="13"/>
      <c r="X498" s="13"/>
      <c r="Y498" s="13"/>
    </row>
    <row r="499" spans="6:25" x14ac:dyDescent="0.25">
      <c r="F499" s="13"/>
      <c r="H499" s="13"/>
      <c r="I499" s="13"/>
      <c r="U499" s="13"/>
      <c r="W499" s="13"/>
      <c r="X499" s="13"/>
      <c r="Y499" s="13"/>
    </row>
    <row r="500" spans="6:25" x14ac:dyDescent="0.25">
      <c r="F500" s="13"/>
      <c r="H500" s="13"/>
      <c r="I500" s="13"/>
      <c r="J500" s="13"/>
      <c r="P500" s="13"/>
      <c r="U500" s="13"/>
      <c r="W500" s="13"/>
      <c r="X500" s="13"/>
      <c r="Y500" s="13"/>
    </row>
    <row r="501" spans="6:25" x14ac:dyDescent="0.25">
      <c r="F501" s="13"/>
      <c r="H501" s="13"/>
      <c r="I501" s="13"/>
      <c r="J501" s="13"/>
      <c r="K501" s="13"/>
      <c r="L501" s="13"/>
      <c r="U501" s="13"/>
      <c r="W501" s="13"/>
      <c r="X501" s="13"/>
      <c r="Y501" s="13"/>
    </row>
    <row r="502" spans="6:25" x14ac:dyDescent="0.25">
      <c r="F502" s="13"/>
      <c r="H502" s="13"/>
      <c r="I502" s="13"/>
      <c r="P502" s="13"/>
      <c r="U502" s="13"/>
      <c r="W502" s="13"/>
      <c r="X502" s="13"/>
      <c r="Y502" s="13"/>
    </row>
    <row r="503" spans="6:25" x14ac:dyDescent="0.25">
      <c r="F503" s="13"/>
      <c r="H503" s="13"/>
      <c r="I503" s="13"/>
      <c r="J503" s="13"/>
      <c r="K503" s="13"/>
      <c r="U503" s="13"/>
      <c r="W503" s="13"/>
      <c r="X503" s="13"/>
      <c r="Y503" s="13"/>
    </row>
    <row r="504" spans="6:25" x14ac:dyDescent="0.25">
      <c r="F504" s="13"/>
      <c r="H504" s="13"/>
      <c r="I504" s="13"/>
      <c r="R504" s="13"/>
      <c r="U504" s="13"/>
      <c r="W504" s="13"/>
      <c r="X504" s="13"/>
      <c r="Y504" s="13"/>
    </row>
    <row r="505" spans="6:25" x14ac:dyDescent="0.25">
      <c r="F505" s="13"/>
      <c r="H505" s="13"/>
      <c r="I505" s="13"/>
      <c r="R505" s="13"/>
      <c r="U505" s="13"/>
      <c r="W505" s="13"/>
      <c r="X505" s="13"/>
      <c r="Y505" s="13"/>
    </row>
    <row r="506" spans="6:25" x14ac:dyDescent="0.25">
      <c r="F506" s="13"/>
      <c r="H506" s="13"/>
      <c r="I506" s="13"/>
      <c r="J506" s="13"/>
      <c r="U506" s="13"/>
      <c r="W506" s="13"/>
      <c r="X506" s="13"/>
      <c r="Y506" s="13"/>
    </row>
    <row r="507" spans="6:25" x14ac:dyDescent="0.25">
      <c r="F507" s="13"/>
      <c r="H507" s="13"/>
      <c r="I507" s="13"/>
      <c r="J507" s="13"/>
      <c r="K507" s="13"/>
      <c r="U507" s="13"/>
      <c r="W507" s="13"/>
      <c r="X507" s="13"/>
      <c r="Y507" s="13"/>
    </row>
    <row r="508" spans="6:25" x14ac:dyDescent="0.25">
      <c r="F508" s="13"/>
      <c r="H508" s="13"/>
      <c r="I508" s="13"/>
      <c r="J508" s="13"/>
      <c r="K508" s="13"/>
      <c r="L508" s="13"/>
      <c r="U508" s="13"/>
      <c r="W508" s="13"/>
      <c r="X508" s="13"/>
      <c r="Y508" s="13"/>
    </row>
    <row r="509" spans="6:25" x14ac:dyDescent="0.25">
      <c r="F509" s="13"/>
      <c r="H509" s="13"/>
      <c r="I509" s="13"/>
      <c r="J509" s="13"/>
      <c r="K509" s="13"/>
      <c r="U509" s="13"/>
      <c r="W509" s="13"/>
      <c r="X509" s="13"/>
      <c r="Y509" s="13"/>
    </row>
    <row r="510" spans="6:25" x14ac:dyDescent="0.25">
      <c r="F510" s="13"/>
      <c r="H510" s="13"/>
      <c r="I510" s="13"/>
      <c r="J510" s="13"/>
      <c r="K510" s="13"/>
      <c r="U510" s="13"/>
      <c r="W510" s="13"/>
      <c r="X510" s="13"/>
      <c r="Y510" s="13"/>
    </row>
    <row r="511" spans="6:25" x14ac:dyDescent="0.25">
      <c r="F511" s="13"/>
      <c r="H511" s="13"/>
      <c r="I511" s="13"/>
      <c r="J511" s="13"/>
      <c r="K511" s="13"/>
      <c r="L511" s="13"/>
      <c r="M511" s="13"/>
      <c r="U511" s="13"/>
      <c r="W511" s="13"/>
      <c r="X511" s="13"/>
      <c r="Y511" s="13"/>
    </row>
    <row r="512" spans="6:25" x14ac:dyDescent="0.25">
      <c r="F512" s="13"/>
      <c r="H512" s="13"/>
      <c r="I512" s="13"/>
      <c r="J512" s="13"/>
      <c r="U512" s="13"/>
      <c r="W512" s="13"/>
      <c r="X512" s="13"/>
      <c r="Y512" s="13"/>
    </row>
    <row r="513" spans="6:25" x14ac:dyDescent="0.25">
      <c r="F513" s="13"/>
      <c r="H513" s="13"/>
      <c r="I513" s="13"/>
      <c r="J513" s="13"/>
      <c r="K513" s="13"/>
      <c r="L513" s="13"/>
      <c r="M513" s="13"/>
      <c r="N513" s="13"/>
      <c r="U513" s="13"/>
      <c r="W513" s="13"/>
      <c r="X513" s="13"/>
      <c r="Y513" s="13"/>
    </row>
    <row r="514" spans="6:25" x14ac:dyDescent="0.25">
      <c r="F514" s="13"/>
      <c r="H514" s="13"/>
      <c r="I514" s="13"/>
      <c r="J514" s="13"/>
      <c r="U514" s="13"/>
      <c r="W514" s="13"/>
      <c r="X514" s="13"/>
      <c r="Y514" s="13"/>
    </row>
    <row r="515" spans="6:25" x14ac:dyDescent="0.25">
      <c r="F515" s="13"/>
      <c r="H515" s="13"/>
      <c r="I515" s="13"/>
      <c r="U515" s="13"/>
      <c r="W515" s="13"/>
      <c r="X515" s="13"/>
      <c r="Y515" s="13"/>
    </row>
    <row r="516" spans="6:25" x14ac:dyDescent="0.25">
      <c r="F516" s="13"/>
      <c r="H516" s="13"/>
      <c r="I516" s="13"/>
      <c r="J516" s="13"/>
      <c r="U516" s="13"/>
      <c r="W516" s="13"/>
      <c r="X516" s="13"/>
      <c r="Y516" s="13"/>
    </row>
    <row r="517" spans="6:25" x14ac:dyDescent="0.25">
      <c r="F517" s="13"/>
      <c r="H517" s="13"/>
      <c r="I517" s="13"/>
      <c r="U517" s="13"/>
      <c r="W517" s="13"/>
      <c r="X517" s="13"/>
      <c r="Y517" s="13"/>
    </row>
    <row r="518" spans="6:25" x14ac:dyDescent="0.25">
      <c r="F518" s="13"/>
      <c r="H518" s="13"/>
      <c r="I518" s="13"/>
      <c r="J518" s="13"/>
      <c r="K518" s="13"/>
      <c r="L518" s="13"/>
      <c r="U518" s="13"/>
      <c r="W518" s="13"/>
      <c r="X518" s="13"/>
      <c r="Y518" s="13"/>
    </row>
    <row r="519" spans="6:25" x14ac:dyDescent="0.25">
      <c r="F519" s="13"/>
      <c r="H519" s="13"/>
      <c r="I519" s="13"/>
      <c r="U519" s="13"/>
      <c r="W519" s="13"/>
      <c r="Y519" s="13"/>
    </row>
    <row r="520" spans="6:25" x14ac:dyDescent="0.25">
      <c r="F520" s="13"/>
      <c r="H520" s="13"/>
      <c r="I520" s="13"/>
      <c r="J520" s="13"/>
      <c r="K520" s="13"/>
      <c r="U520" s="13"/>
      <c r="W520" s="13"/>
      <c r="X520" s="13"/>
      <c r="Y520" s="13"/>
    </row>
    <row r="521" spans="6:25" x14ac:dyDescent="0.25">
      <c r="F521" s="13"/>
      <c r="H521" s="13"/>
      <c r="I521" s="13"/>
      <c r="J521" s="13"/>
      <c r="U521" s="13"/>
      <c r="W521" s="13"/>
      <c r="X521" s="13"/>
      <c r="Y521" s="13"/>
    </row>
    <row r="522" spans="6:25" x14ac:dyDescent="0.25">
      <c r="F522" s="13"/>
      <c r="H522" s="13"/>
      <c r="I522" s="13"/>
      <c r="J522" s="13"/>
      <c r="K522" s="13"/>
      <c r="U522" s="13"/>
      <c r="W522" s="13"/>
      <c r="X522" s="13"/>
      <c r="Y522" s="13"/>
    </row>
    <row r="523" spans="6:25" x14ac:dyDescent="0.25">
      <c r="F523" s="13"/>
      <c r="H523" s="13"/>
      <c r="I523" s="13"/>
      <c r="J523" s="13"/>
      <c r="U523" s="13"/>
      <c r="W523" s="13"/>
      <c r="X523" s="13"/>
      <c r="Y523" s="13"/>
    </row>
    <row r="524" spans="6:25" x14ac:dyDescent="0.25">
      <c r="F524" s="13"/>
      <c r="H524" s="13"/>
      <c r="I524" s="13"/>
      <c r="J524" s="13"/>
      <c r="U524" s="13"/>
      <c r="W524" s="13"/>
      <c r="X524" s="13"/>
      <c r="Y524" s="13"/>
    </row>
    <row r="525" spans="6:25" x14ac:dyDescent="0.25">
      <c r="F525" s="13"/>
      <c r="H525" s="13"/>
      <c r="I525" s="13"/>
      <c r="J525" s="13"/>
      <c r="U525" s="13"/>
      <c r="W525" s="13"/>
      <c r="X525" s="13"/>
      <c r="Y525" s="13"/>
    </row>
    <row r="526" spans="6:25" x14ac:dyDescent="0.25">
      <c r="F526" s="13"/>
      <c r="H526" s="13"/>
      <c r="I526" s="13"/>
      <c r="J526" s="13"/>
      <c r="K526" s="13"/>
      <c r="U526" s="13"/>
      <c r="W526" s="13"/>
      <c r="X526" s="13"/>
      <c r="Y526" s="13"/>
    </row>
    <row r="527" spans="6:25" x14ac:dyDescent="0.25">
      <c r="F527" s="13"/>
      <c r="H527" s="13"/>
      <c r="I527" s="13"/>
      <c r="J527" s="13"/>
      <c r="U527" s="13"/>
      <c r="W527" s="13"/>
      <c r="X527" s="13"/>
      <c r="Y527" s="13"/>
    </row>
    <row r="528" spans="6:25" x14ac:dyDescent="0.25">
      <c r="F528" s="13"/>
      <c r="H528" s="13"/>
      <c r="I528" s="13"/>
      <c r="U528" s="13"/>
      <c r="W528" s="13"/>
      <c r="X528" s="13"/>
      <c r="Y528" s="13"/>
    </row>
    <row r="529" spans="6:25" x14ac:dyDescent="0.25">
      <c r="F529" s="13"/>
      <c r="H529" s="13"/>
      <c r="I529" s="13"/>
      <c r="J529" s="13"/>
      <c r="U529" s="13"/>
      <c r="W529" s="13"/>
      <c r="X529" s="13"/>
      <c r="Y529" s="13"/>
    </row>
    <row r="530" spans="6:25" x14ac:dyDescent="0.25">
      <c r="F530" s="13"/>
      <c r="H530" s="13"/>
      <c r="I530" s="13"/>
      <c r="J530" s="13"/>
      <c r="U530" s="13"/>
      <c r="W530" s="13"/>
      <c r="X530" s="13"/>
      <c r="Y530" s="13"/>
    </row>
    <row r="531" spans="6:25" x14ac:dyDescent="0.25">
      <c r="F531" s="13"/>
      <c r="H531" s="13"/>
      <c r="I531" s="13"/>
      <c r="U531" s="13"/>
      <c r="W531" s="13"/>
      <c r="X531" s="13"/>
      <c r="Y531" s="13"/>
    </row>
    <row r="532" spans="6:25" x14ac:dyDescent="0.25">
      <c r="F532" s="13"/>
      <c r="H532" s="13"/>
      <c r="J532" s="13"/>
      <c r="U532" s="13"/>
      <c r="W532" s="13"/>
      <c r="X532" s="13"/>
      <c r="Y532" s="13"/>
    </row>
    <row r="533" spans="6:25" x14ac:dyDescent="0.25">
      <c r="F533" s="13"/>
      <c r="H533" s="13"/>
      <c r="I533" s="13"/>
      <c r="J533" s="13"/>
      <c r="K533" s="13"/>
      <c r="U533" s="13"/>
      <c r="W533" s="13"/>
      <c r="X533" s="13"/>
      <c r="Y533" s="13"/>
    </row>
    <row r="534" spans="6:25" x14ac:dyDescent="0.25">
      <c r="F534" s="13"/>
      <c r="H534" s="13"/>
      <c r="I534" s="13"/>
      <c r="U534" s="13"/>
      <c r="W534" s="13"/>
      <c r="X534" s="13"/>
      <c r="Y534" s="13"/>
    </row>
    <row r="535" spans="6:25" x14ac:dyDescent="0.25">
      <c r="F535" s="13"/>
      <c r="H535" s="13"/>
      <c r="I535" s="13"/>
      <c r="J535" s="13"/>
      <c r="U535" s="13"/>
      <c r="W535" s="13"/>
      <c r="X535" s="13"/>
      <c r="Y535" s="13"/>
    </row>
    <row r="536" spans="6:25" x14ac:dyDescent="0.25">
      <c r="F536" s="13"/>
      <c r="H536" s="13"/>
      <c r="I536" s="13"/>
      <c r="J536" s="13"/>
      <c r="K536" s="13"/>
      <c r="U536" s="13"/>
      <c r="W536" s="13"/>
      <c r="X536" s="13"/>
      <c r="Y536" s="13"/>
    </row>
    <row r="537" spans="6:25" x14ac:dyDescent="0.25">
      <c r="F537" s="13"/>
      <c r="H537" s="13"/>
      <c r="I537" s="13"/>
      <c r="J537" s="13"/>
      <c r="U537" s="13"/>
      <c r="W537" s="13"/>
      <c r="X537" s="13"/>
      <c r="Y537" s="13"/>
    </row>
    <row r="538" spans="6:25" x14ac:dyDescent="0.25">
      <c r="F538" s="13"/>
      <c r="H538" s="13"/>
      <c r="I538" s="13"/>
      <c r="U538" s="13"/>
      <c r="W538" s="13"/>
      <c r="X538" s="13"/>
      <c r="Y538" s="13"/>
    </row>
    <row r="539" spans="6:25" x14ac:dyDescent="0.25">
      <c r="F539" s="13"/>
      <c r="H539" s="13"/>
      <c r="I539" s="13"/>
      <c r="U539" s="13"/>
      <c r="W539" s="13"/>
      <c r="X539" s="13"/>
      <c r="Y539" s="13"/>
    </row>
    <row r="540" spans="6:25" x14ac:dyDescent="0.25">
      <c r="F540" s="13"/>
      <c r="H540" s="13"/>
      <c r="I540" s="13"/>
      <c r="J540" s="13"/>
      <c r="K540" s="13"/>
      <c r="U540" s="13"/>
      <c r="W540" s="13"/>
      <c r="X540" s="13"/>
      <c r="Y540" s="13"/>
    </row>
    <row r="541" spans="6:25" x14ac:dyDescent="0.25">
      <c r="F541" s="13"/>
      <c r="H541" s="13"/>
      <c r="I541" s="13"/>
      <c r="J541" s="13"/>
      <c r="U541" s="13"/>
      <c r="W541" s="13"/>
      <c r="X541" s="13"/>
      <c r="Y541" s="13"/>
    </row>
    <row r="542" spans="6:25" x14ac:dyDescent="0.25">
      <c r="F542" s="13"/>
      <c r="H542" s="13"/>
      <c r="I542" s="13"/>
      <c r="U542" s="13"/>
      <c r="W542" s="13"/>
      <c r="X542" s="13"/>
      <c r="Y542" s="13"/>
    </row>
    <row r="543" spans="6:25" x14ac:dyDescent="0.25">
      <c r="F543" s="13"/>
      <c r="H543" s="13"/>
      <c r="I543" s="13"/>
      <c r="J543" s="13"/>
      <c r="U543" s="13"/>
      <c r="W543" s="13"/>
      <c r="X543" s="13"/>
      <c r="Y543" s="13"/>
    </row>
    <row r="544" spans="6:25" x14ac:dyDescent="0.25">
      <c r="F544" s="13"/>
      <c r="H544" s="13"/>
      <c r="I544" s="13"/>
      <c r="U544" s="13"/>
      <c r="W544" s="13"/>
      <c r="X544" s="13"/>
      <c r="Y544" s="13"/>
    </row>
    <row r="545" spans="6:25" x14ac:dyDescent="0.25">
      <c r="F545" s="13"/>
      <c r="H545" s="13"/>
      <c r="I545" s="13"/>
      <c r="J545" s="13"/>
      <c r="K545" s="13"/>
      <c r="U545" s="13"/>
      <c r="W545" s="13"/>
      <c r="X545" s="13"/>
      <c r="Y545" s="13"/>
    </row>
    <row r="546" spans="6:25" x14ac:dyDescent="0.25">
      <c r="F546" s="13"/>
      <c r="H546" s="13"/>
      <c r="I546" s="13"/>
      <c r="U546" s="13"/>
      <c r="W546" s="13"/>
      <c r="X546" s="13"/>
      <c r="Y546" s="13"/>
    </row>
    <row r="547" spans="6:25" x14ac:dyDescent="0.25">
      <c r="F547" s="13"/>
      <c r="H547" s="13"/>
      <c r="I547" s="13"/>
      <c r="J547" s="13"/>
      <c r="U547" s="13"/>
      <c r="W547" s="13"/>
      <c r="X547" s="13"/>
      <c r="Y547" s="13"/>
    </row>
    <row r="548" spans="6:25" x14ac:dyDescent="0.25">
      <c r="F548" s="13"/>
      <c r="H548" s="13"/>
      <c r="I548" s="13"/>
      <c r="J548" s="13"/>
      <c r="U548" s="13"/>
      <c r="W548" s="13"/>
      <c r="X548" s="13"/>
      <c r="Y548" s="13"/>
    </row>
    <row r="549" spans="6:25" x14ac:dyDescent="0.25">
      <c r="F549" s="13"/>
      <c r="H549" s="13"/>
      <c r="I549" s="13"/>
      <c r="U549" s="13"/>
      <c r="W549" s="13"/>
      <c r="X549" s="13"/>
      <c r="Y549" s="13"/>
    </row>
    <row r="550" spans="6:25" x14ac:dyDescent="0.25">
      <c r="F550" s="13"/>
      <c r="H550" s="13"/>
      <c r="I550" s="13"/>
      <c r="U550" s="13"/>
      <c r="W550" s="13"/>
      <c r="X550" s="13"/>
      <c r="Y550" s="13"/>
    </row>
    <row r="551" spans="6:25" x14ac:dyDescent="0.25">
      <c r="F551" s="13"/>
      <c r="H551" s="13"/>
      <c r="I551" s="13"/>
      <c r="J551" s="13"/>
      <c r="U551" s="13"/>
      <c r="W551" s="13"/>
      <c r="X551" s="13"/>
      <c r="Y551" s="13"/>
    </row>
    <row r="552" spans="6:25" x14ac:dyDescent="0.25">
      <c r="F552" s="13"/>
      <c r="H552" s="13"/>
      <c r="I552" s="13"/>
      <c r="U552" s="13"/>
      <c r="X552" s="13"/>
      <c r="Y552" s="13"/>
    </row>
    <row r="553" spans="6:25" x14ac:dyDescent="0.25">
      <c r="F553" s="13"/>
      <c r="H553" s="13"/>
      <c r="I553" s="13"/>
      <c r="J553" s="13"/>
      <c r="K553" s="13"/>
      <c r="U553" s="13"/>
      <c r="W553" s="13"/>
      <c r="X553" s="13"/>
      <c r="Y553" s="13"/>
    </row>
  </sheetData>
  <pageMargins left="0.25" right="0.25" top="0.75" bottom="0.75" header="0.3" footer="0.3"/>
  <pageSetup scale="3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6B4A-BF0A-4E17-B02E-6FE83B8EFCCB}">
  <sheetPr codeName="Sheet3"/>
  <dimension ref="A1:K183"/>
  <sheetViews>
    <sheetView topLeftCell="B1" workbookViewId="0">
      <selection activeCell="E8" sqref="E8:E9"/>
    </sheetView>
  </sheetViews>
  <sheetFormatPr defaultRowHeight="15" x14ac:dyDescent="0.25"/>
  <cols>
    <col min="1" max="2" width="34.28515625" bestFit="1" customWidth="1"/>
    <col min="4" max="4" width="9" bestFit="1" customWidth="1"/>
    <col min="6" max="7" width="25.42578125" customWidth="1"/>
    <col min="8" max="8" width="13.85546875" bestFit="1" customWidth="1"/>
    <col min="11" max="11" width="10.42578125" customWidth="1"/>
  </cols>
  <sheetData>
    <row r="1" spans="1:4" x14ac:dyDescent="0.25">
      <c r="A1" t="s">
        <v>5</v>
      </c>
      <c r="B1" t="s">
        <v>5</v>
      </c>
      <c r="C1" s="8">
        <f>Dashboard!B24</f>
        <v>0</v>
      </c>
      <c r="D1" s="8">
        <f>Dashboard!E24</f>
        <v>0</v>
      </c>
    </row>
    <row r="2" spans="1:4" x14ac:dyDescent="0.25">
      <c r="A2" s="11" t="s">
        <v>91</v>
      </c>
      <c r="B2" s="11" t="s">
        <v>91</v>
      </c>
    </row>
    <row r="3" spans="1:4" x14ac:dyDescent="0.25">
      <c r="A3" t="s">
        <v>62</v>
      </c>
      <c r="B3" t="s">
        <v>62</v>
      </c>
      <c r="C3">
        <v>272000</v>
      </c>
      <c r="D3">
        <v>272000</v>
      </c>
    </row>
    <row r="4" spans="1:4" x14ac:dyDescent="0.25">
      <c r="A4" t="s">
        <v>23</v>
      </c>
      <c r="B4" t="s">
        <v>23</v>
      </c>
      <c r="C4">
        <v>392000</v>
      </c>
      <c r="D4">
        <v>392000</v>
      </c>
    </row>
    <row r="5" spans="1:4" x14ac:dyDescent="0.25">
      <c r="A5" t="s">
        <v>19</v>
      </c>
      <c r="B5" t="s">
        <v>19</v>
      </c>
      <c r="C5">
        <v>423000</v>
      </c>
      <c r="D5">
        <v>423000</v>
      </c>
    </row>
    <row r="6" spans="1:4" x14ac:dyDescent="0.25">
      <c r="A6" t="s">
        <v>108</v>
      </c>
      <c r="B6" t="s">
        <v>108</v>
      </c>
      <c r="C6">
        <v>343277</v>
      </c>
      <c r="D6">
        <v>343277</v>
      </c>
    </row>
    <row r="7" spans="1:4" x14ac:dyDescent="0.25">
      <c r="A7" t="s">
        <v>28</v>
      </c>
      <c r="B7" t="s">
        <v>28</v>
      </c>
      <c r="C7">
        <v>354000</v>
      </c>
      <c r="D7">
        <v>354000</v>
      </c>
    </row>
    <row r="8" spans="1:4" x14ac:dyDescent="0.25">
      <c r="A8" t="s">
        <v>56</v>
      </c>
      <c r="B8" t="s">
        <v>56</v>
      </c>
      <c r="C8">
        <v>170000</v>
      </c>
      <c r="D8">
        <v>170000</v>
      </c>
    </row>
    <row r="9" spans="1:4" x14ac:dyDescent="0.25">
      <c r="A9" t="s">
        <v>55</v>
      </c>
      <c r="B9" t="s">
        <v>55</v>
      </c>
      <c r="C9">
        <v>180000</v>
      </c>
      <c r="D9">
        <v>180000</v>
      </c>
    </row>
    <row r="10" spans="1:4" x14ac:dyDescent="0.25">
      <c r="A10" t="s">
        <v>54</v>
      </c>
      <c r="B10" t="s">
        <v>54</v>
      </c>
      <c r="C10">
        <v>170000</v>
      </c>
      <c r="D10">
        <v>170000</v>
      </c>
    </row>
    <row r="11" spans="1:4" x14ac:dyDescent="0.25">
      <c r="A11" t="s">
        <v>53</v>
      </c>
      <c r="B11" t="s">
        <v>53</v>
      </c>
      <c r="C11">
        <v>298000</v>
      </c>
      <c r="D11">
        <v>298000</v>
      </c>
    </row>
    <row r="12" spans="1:4" x14ac:dyDescent="0.25">
      <c r="A12" t="s">
        <v>49</v>
      </c>
      <c r="B12" t="s">
        <v>49</v>
      </c>
      <c r="C12">
        <v>200000</v>
      </c>
      <c r="D12">
        <v>200000</v>
      </c>
    </row>
    <row r="13" spans="1:4" x14ac:dyDescent="0.25">
      <c r="A13" t="s">
        <v>22</v>
      </c>
      <c r="B13" t="s">
        <v>22</v>
      </c>
      <c r="C13">
        <v>392000</v>
      </c>
      <c r="D13">
        <v>392000</v>
      </c>
    </row>
    <row r="14" spans="1:4" x14ac:dyDescent="0.25">
      <c r="A14" t="s">
        <v>107</v>
      </c>
      <c r="B14" t="s">
        <v>107</v>
      </c>
      <c r="C14">
        <v>212000</v>
      </c>
      <c r="D14">
        <v>212000</v>
      </c>
    </row>
    <row r="15" spans="1:4" x14ac:dyDescent="0.25">
      <c r="A15" t="s">
        <v>29</v>
      </c>
      <c r="B15" t="s">
        <v>29</v>
      </c>
      <c r="C15">
        <v>350000</v>
      </c>
      <c r="D15">
        <v>350000</v>
      </c>
    </row>
    <row r="16" spans="1:4" x14ac:dyDescent="0.25">
      <c r="A16" t="s">
        <v>106</v>
      </c>
      <c r="B16" t="s">
        <v>106</v>
      </c>
      <c r="C16">
        <v>212000</v>
      </c>
      <c r="D16">
        <v>212000</v>
      </c>
    </row>
    <row r="17" spans="1:4" x14ac:dyDescent="0.25">
      <c r="A17" t="s">
        <v>52</v>
      </c>
      <c r="B17" t="s">
        <v>52</v>
      </c>
      <c r="C17">
        <v>265000</v>
      </c>
      <c r="D17">
        <v>265000</v>
      </c>
    </row>
    <row r="18" spans="1:4" x14ac:dyDescent="0.25">
      <c r="A18" t="s">
        <v>40</v>
      </c>
      <c r="B18" t="s">
        <v>40</v>
      </c>
      <c r="C18">
        <v>219000</v>
      </c>
      <c r="D18">
        <v>219000</v>
      </c>
    </row>
    <row r="19" spans="1:4" x14ac:dyDescent="0.25">
      <c r="A19" t="s">
        <v>20</v>
      </c>
      <c r="B19" t="s">
        <v>20</v>
      </c>
      <c r="C19">
        <v>408000</v>
      </c>
      <c r="D19">
        <v>408000</v>
      </c>
    </row>
    <row r="20" spans="1:4" x14ac:dyDescent="0.25">
      <c r="A20" t="s">
        <v>30</v>
      </c>
      <c r="B20" t="s">
        <v>30</v>
      </c>
      <c r="C20">
        <v>322000</v>
      </c>
      <c r="D20">
        <v>322000</v>
      </c>
    </row>
    <row r="21" spans="1:4" x14ac:dyDescent="0.25">
      <c r="A21" t="s">
        <v>109</v>
      </c>
      <c r="B21" t="s">
        <v>109</v>
      </c>
      <c r="C21">
        <v>376660</v>
      </c>
      <c r="D21">
        <v>376660</v>
      </c>
    </row>
    <row r="22" spans="1:4" x14ac:dyDescent="0.25">
      <c r="A22" t="s">
        <v>61</v>
      </c>
      <c r="B22" t="s">
        <v>61</v>
      </c>
      <c r="C22">
        <v>272000</v>
      </c>
      <c r="D22">
        <v>272000</v>
      </c>
    </row>
    <row r="23" spans="1:4" x14ac:dyDescent="0.25">
      <c r="A23" t="s">
        <v>38</v>
      </c>
      <c r="B23" t="s">
        <v>38</v>
      </c>
      <c r="C23">
        <v>231000</v>
      </c>
      <c r="D23">
        <v>231000</v>
      </c>
    </row>
    <row r="24" spans="1:4" x14ac:dyDescent="0.25">
      <c r="A24" t="s">
        <v>39</v>
      </c>
      <c r="B24" t="s">
        <v>39</v>
      </c>
      <c r="C24">
        <v>230000</v>
      </c>
      <c r="D24">
        <v>230000</v>
      </c>
    </row>
    <row r="25" spans="1:4" x14ac:dyDescent="0.25">
      <c r="A25" t="s">
        <v>47</v>
      </c>
      <c r="B25" t="s">
        <v>47</v>
      </c>
      <c r="C25">
        <v>400000</v>
      </c>
      <c r="D25">
        <v>400000</v>
      </c>
    </row>
    <row r="26" spans="1:4" x14ac:dyDescent="0.25">
      <c r="A26" t="s">
        <v>110</v>
      </c>
      <c r="B26" t="s">
        <v>110</v>
      </c>
      <c r="C26">
        <v>158597</v>
      </c>
      <c r="D26">
        <v>158597</v>
      </c>
    </row>
    <row r="27" spans="1:4" x14ac:dyDescent="0.25">
      <c r="A27" t="s">
        <v>33</v>
      </c>
      <c r="B27" t="s">
        <v>33</v>
      </c>
      <c r="C27">
        <v>294000</v>
      </c>
      <c r="D27">
        <v>294000</v>
      </c>
    </row>
    <row r="28" spans="1:4" x14ac:dyDescent="0.25">
      <c r="A28" t="s">
        <v>37</v>
      </c>
      <c r="B28" t="s">
        <v>37</v>
      </c>
      <c r="C28">
        <v>244000</v>
      </c>
      <c r="D28">
        <v>244000</v>
      </c>
    </row>
    <row r="29" spans="1:4" x14ac:dyDescent="0.25">
      <c r="A29" t="s">
        <v>111</v>
      </c>
      <c r="B29" t="s">
        <v>111</v>
      </c>
      <c r="C29">
        <v>609639</v>
      </c>
      <c r="D29">
        <v>609639</v>
      </c>
    </row>
    <row r="30" spans="1:4" x14ac:dyDescent="0.25">
      <c r="A30" t="s">
        <v>112</v>
      </c>
      <c r="B30" t="s">
        <v>112</v>
      </c>
      <c r="C30">
        <v>290639</v>
      </c>
      <c r="D30">
        <v>290639</v>
      </c>
    </row>
    <row r="31" spans="1:4" x14ac:dyDescent="0.25">
      <c r="A31" t="s">
        <v>32</v>
      </c>
      <c r="B31" t="s">
        <v>32</v>
      </c>
      <c r="C31">
        <v>300000</v>
      </c>
      <c r="D31">
        <v>300000</v>
      </c>
    </row>
    <row r="32" spans="1:4" x14ac:dyDescent="0.25">
      <c r="A32" t="s">
        <v>113</v>
      </c>
      <c r="B32" t="s">
        <v>113</v>
      </c>
      <c r="C32">
        <v>229450</v>
      </c>
      <c r="D32">
        <v>229450</v>
      </c>
    </row>
    <row r="33" spans="1:4" x14ac:dyDescent="0.25">
      <c r="A33" t="s">
        <v>26</v>
      </c>
      <c r="B33" t="s">
        <v>26</v>
      </c>
      <c r="C33">
        <v>363000</v>
      </c>
      <c r="D33">
        <v>363000</v>
      </c>
    </row>
    <row r="34" spans="1:4" x14ac:dyDescent="0.25">
      <c r="A34" t="s">
        <v>27</v>
      </c>
      <c r="B34" t="s">
        <v>27</v>
      </c>
      <c r="C34">
        <v>357000</v>
      </c>
      <c r="D34">
        <v>357000</v>
      </c>
    </row>
    <row r="35" spans="1:4" x14ac:dyDescent="0.25">
      <c r="A35" t="s">
        <v>46</v>
      </c>
      <c r="B35" t="s">
        <v>46</v>
      </c>
      <c r="C35">
        <v>400000</v>
      </c>
      <c r="D35">
        <v>400000</v>
      </c>
    </row>
    <row r="36" spans="1:4" x14ac:dyDescent="0.25">
      <c r="A36" t="s">
        <v>48</v>
      </c>
      <c r="B36" t="s">
        <v>48</v>
      </c>
      <c r="C36">
        <v>200000</v>
      </c>
      <c r="D36">
        <v>200000</v>
      </c>
    </row>
    <row r="37" spans="1:4" x14ac:dyDescent="0.25">
      <c r="A37" t="s">
        <v>114</v>
      </c>
      <c r="B37" t="s">
        <v>114</v>
      </c>
      <c r="C37">
        <v>535668</v>
      </c>
      <c r="D37">
        <v>535668</v>
      </c>
    </row>
    <row r="38" spans="1:4" x14ac:dyDescent="0.25">
      <c r="A38" t="s">
        <v>18</v>
      </c>
      <c r="B38" t="s">
        <v>18</v>
      </c>
      <c r="C38">
        <v>497000</v>
      </c>
      <c r="D38">
        <v>497000</v>
      </c>
    </row>
    <row r="39" spans="1:4" x14ac:dyDescent="0.25">
      <c r="A39" t="s">
        <v>24</v>
      </c>
      <c r="B39" t="s">
        <v>24</v>
      </c>
      <c r="C39">
        <v>383000</v>
      </c>
      <c r="D39">
        <v>383000</v>
      </c>
    </row>
    <row r="40" spans="1:4" x14ac:dyDescent="0.25">
      <c r="A40" t="s">
        <v>34</v>
      </c>
      <c r="B40" t="s">
        <v>34</v>
      </c>
      <c r="C40">
        <v>286000</v>
      </c>
      <c r="D40">
        <v>286000</v>
      </c>
    </row>
    <row r="41" spans="1:4" x14ac:dyDescent="0.25">
      <c r="A41" t="s">
        <v>50</v>
      </c>
      <c r="B41" t="s">
        <v>50</v>
      </c>
      <c r="C41">
        <v>220000</v>
      </c>
      <c r="D41">
        <v>220000</v>
      </c>
    </row>
    <row r="42" spans="1:4" x14ac:dyDescent="0.25">
      <c r="A42" t="s">
        <v>41</v>
      </c>
      <c r="B42" t="s">
        <v>41</v>
      </c>
      <c r="C42">
        <v>212000</v>
      </c>
      <c r="D42">
        <v>212000</v>
      </c>
    </row>
    <row r="43" spans="1:4" x14ac:dyDescent="0.25">
      <c r="A43" t="s">
        <v>51</v>
      </c>
      <c r="B43" t="s">
        <v>51</v>
      </c>
      <c r="C43">
        <v>250000</v>
      </c>
      <c r="D43">
        <v>250000</v>
      </c>
    </row>
    <row r="44" spans="1:4" x14ac:dyDescent="0.25">
      <c r="A44" t="s">
        <v>43</v>
      </c>
      <c r="B44" t="s">
        <v>43</v>
      </c>
      <c r="C44">
        <v>269000</v>
      </c>
      <c r="D44">
        <v>269000</v>
      </c>
    </row>
    <row r="45" spans="1:4" x14ac:dyDescent="0.25">
      <c r="A45" t="s">
        <v>17</v>
      </c>
      <c r="B45" t="s">
        <v>17</v>
      </c>
      <c r="C45">
        <v>501000</v>
      </c>
      <c r="D45">
        <v>501000</v>
      </c>
    </row>
    <row r="46" spans="1:4" x14ac:dyDescent="0.25">
      <c r="A46" t="s">
        <v>45</v>
      </c>
      <c r="B46" t="s">
        <v>45</v>
      </c>
      <c r="C46">
        <v>199000</v>
      </c>
      <c r="D46">
        <v>199000</v>
      </c>
    </row>
    <row r="47" spans="1:4" x14ac:dyDescent="0.25">
      <c r="A47" t="s">
        <v>16</v>
      </c>
      <c r="B47" t="s">
        <v>16</v>
      </c>
      <c r="C47">
        <v>223000</v>
      </c>
      <c r="D47">
        <v>223000</v>
      </c>
    </row>
    <row r="48" spans="1:4" x14ac:dyDescent="0.25">
      <c r="A48" t="s">
        <v>35</v>
      </c>
      <c r="B48" t="s">
        <v>35</v>
      </c>
      <c r="C48">
        <v>273000</v>
      </c>
      <c r="D48">
        <v>273000</v>
      </c>
    </row>
    <row r="49" spans="1:4" x14ac:dyDescent="0.25">
      <c r="A49" t="s">
        <v>44</v>
      </c>
      <c r="B49" t="s">
        <v>44</v>
      </c>
      <c r="C49">
        <v>199000</v>
      </c>
      <c r="D49">
        <v>199000</v>
      </c>
    </row>
    <row r="50" spans="1:4" x14ac:dyDescent="0.25">
      <c r="A50" t="s">
        <v>31</v>
      </c>
      <c r="B50" t="s">
        <v>31</v>
      </c>
      <c r="C50">
        <v>321000</v>
      </c>
      <c r="D50">
        <v>321000</v>
      </c>
    </row>
    <row r="51" spans="1:4" x14ac:dyDescent="0.25">
      <c r="A51" t="s">
        <v>115</v>
      </c>
      <c r="B51" t="s">
        <v>115</v>
      </c>
      <c r="C51">
        <v>418228</v>
      </c>
      <c r="D51">
        <v>418228</v>
      </c>
    </row>
    <row r="52" spans="1:4" x14ac:dyDescent="0.25">
      <c r="A52" t="s">
        <v>21</v>
      </c>
      <c r="B52" t="s">
        <v>21</v>
      </c>
      <c r="C52">
        <v>401000</v>
      </c>
      <c r="D52">
        <v>401000</v>
      </c>
    </row>
    <row r="53" spans="1:4" x14ac:dyDescent="0.25">
      <c r="A53" t="s">
        <v>42</v>
      </c>
      <c r="B53" t="s">
        <v>42</v>
      </c>
      <c r="C53">
        <v>269000</v>
      </c>
      <c r="D53">
        <v>269000</v>
      </c>
    </row>
    <row r="54" spans="1:4" x14ac:dyDescent="0.25">
      <c r="A54" t="s">
        <v>36</v>
      </c>
      <c r="B54" t="s">
        <v>36</v>
      </c>
      <c r="C54">
        <v>257000</v>
      </c>
      <c r="D54">
        <v>257000</v>
      </c>
    </row>
    <row r="55" spans="1:4" x14ac:dyDescent="0.25">
      <c r="A55" t="s">
        <v>116</v>
      </c>
      <c r="B55" t="s">
        <v>116</v>
      </c>
      <c r="C55">
        <v>471137</v>
      </c>
      <c r="D55">
        <v>471137</v>
      </c>
    </row>
    <row r="56" spans="1:4" x14ac:dyDescent="0.25">
      <c r="A56" t="s">
        <v>25</v>
      </c>
      <c r="B56" t="s">
        <v>25</v>
      </c>
      <c r="C56">
        <v>373000</v>
      </c>
      <c r="D56">
        <v>373000</v>
      </c>
    </row>
    <row r="57" spans="1:4" x14ac:dyDescent="0.25">
      <c r="A57" t="s">
        <v>117</v>
      </c>
      <c r="B57" t="s">
        <v>117</v>
      </c>
      <c r="C57">
        <v>428000</v>
      </c>
      <c r="D57">
        <v>428000</v>
      </c>
    </row>
    <row r="59" spans="1:4" x14ac:dyDescent="0.25">
      <c r="A59" s="11" t="s">
        <v>99</v>
      </c>
      <c r="B59" s="11" t="s">
        <v>99</v>
      </c>
    </row>
    <row r="60" spans="1:4" x14ac:dyDescent="0.25">
      <c r="A60" t="s">
        <v>103</v>
      </c>
      <c r="B60" t="s">
        <v>103</v>
      </c>
      <c r="C60">
        <v>182000</v>
      </c>
      <c r="D60">
        <v>182000</v>
      </c>
    </row>
    <row r="61" spans="1:4" x14ac:dyDescent="0.25">
      <c r="A61" t="s">
        <v>100</v>
      </c>
      <c r="B61" t="s">
        <v>100</v>
      </c>
      <c r="C61">
        <v>102000</v>
      </c>
      <c r="D61">
        <v>102000</v>
      </c>
    </row>
    <row r="62" spans="1:4" x14ac:dyDescent="0.25">
      <c r="A62" t="s">
        <v>102</v>
      </c>
      <c r="B62" t="s">
        <v>102</v>
      </c>
      <c r="C62">
        <v>52000</v>
      </c>
      <c r="D62">
        <v>52000</v>
      </c>
    </row>
    <row r="63" spans="1:4" x14ac:dyDescent="0.25">
      <c r="A63" t="s">
        <v>105</v>
      </c>
      <c r="B63" t="s">
        <v>105</v>
      </c>
      <c r="C63">
        <v>103000</v>
      </c>
      <c r="D63">
        <v>103000</v>
      </c>
    </row>
    <row r="64" spans="1:4" x14ac:dyDescent="0.25">
      <c r="A64" t="s">
        <v>104</v>
      </c>
      <c r="B64" t="s">
        <v>104</v>
      </c>
      <c r="C64">
        <v>106000</v>
      </c>
      <c r="D64">
        <v>106000</v>
      </c>
    </row>
    <row r="65" spans="1:4" x14ac:dyDescent="0.25">
      <c r="A65" t="s">
        <v>101</v>
      </c>
      <c r="B65" t="s">
        <v>101</v>
      </c>
      <c r="C65">
        <v>82000</v>
      </c>
      <c r="D65">
        <v>82000</v>
      </c>
    </row>
    <row r="67" spans="1:4" x14ac:dyDescent="0.25">
      <c r="A67" s="11" t="s">
        <v>92</v>
      </c>
      <c r="B67" s="11" t="s">
        <v>92</v>
      </c>
    </row>
    <row r="68" spans="1:4" x14ac:dyDescent="0.25">
      <c r="A68" t="s">
        <v>78</v>
      </c>
      <c r="B68" t="s">
        <v>78</v>
      </c>
      <c r="C68">
        <v>108250</v>
      </c>
      <c r="D68">
        <v>108250</v>
      </c>
    </row>
    <row r="69" spans="1:4" x14ac:dyDescent="0.25">
      <c r="A69" t="s">
        <v>83</v>
      </c>
      <c r="B69" t="s">
        <v>83</v>
      </c>
      <c r="C69">
        <v>156000</v>
      </c>
      <c r="D69">
        <v>156000</v>
      </c>
    </row>
    <row r="70" spans="1:4" x14ac:dyDescent="0.25">
      <c r="A70" t="s">
        <v>80</v>
      </c>
      <c r="B70" t="s">
        <v>80</v>
      </c>
      <c r="C70">
        <v>135000</v>
      </c>
      <c r="D70">
        <v>135000</v>
      </c>
    </row>
    <row r="71" spans="1:4" x14ac:dyDescent="0.25">
      <c r="A71" t="s">
        <v>72</v>
      </c>
      <c r="B71" t="s">
        <v>72</v>
      </c>
      <c r="C71">
        <v>210500</v>
      </c>
      <c r="D71">
        <v>210500</v>
      </c>
    </row>
    <row r="72" spans="1:4" x14ac:dyDescent="0.25">
      <c r="A72" t="s">
        <v>71</v>
      </c>
      <c r="B72" t="s">
        <v>71</v>
      </c>
      <c r="C72">
        <v>198500</v>
      </c>
      <c r="D72">
        <v>198500</v>
      </c>
    </row>
    <row r="73" spans="1:4" x14ac:dyDescent="0.25">
      <c r="A73" t="s">
        <v>68</v>
      </c>
      <c r="B73" t="s">
        <v>68</v>
      </c>
      <c r="C73">
        <v>236000</v>
      </c>
      <c r="D73">
        <v>236000</v>
      </c>
    </row>
    <row r="74" spans="1:4" x14ac:dyDescent="0.25">
      <c r="A74" t="s">
        <v>86</v>
      </c>
      <c r="B74" t="s">
        <v>86</v>
      </c>
      <c r="C74">
        <v>208500</v>
      </c>
      <c r="D74">
        <v>208500</v>
      </c>
    </row>
    <row r="75" spans="1:4" x14ac:dyDescent="0.25">
      <c r="A75" t="s">
        <v>84</v>
      </c>
      <c r="B75" t="s">
        <v>84</v>
      </c>
      <c r="C75">
        <v>150250</v>
      </c>
      <c r="D75">
        <v>150250</v>
      </c>
    </row>
    <row r="76" spans="1:4" x14ac:dyDescent="0.25">
      <c r="B76" t="s">
        <v>146</v>
      </c>
      <c r="C76">
        <v>66000</v>
      </c>
      <c r="D76">
        <v>66000</v>
      </c>
    </row>
    <row r="77" spans="1:4" x14ac:dyDescent="0.25">
      <c r="B77" t="s">
        <v>147</v>
      </c>
      <c r="C77">
        <v>82000</v>
      </c>
      <c r="D77">
        <v>82000</v>
      </c>
    </row>
    <row r="78" spans="1:4" x14ac:dyDescent="0.25">
      <c r="B78" t="s">
        <v>148</v>
      </c>
      <c r="C78">
        <v>97000</v>
      </c>
      <c r="D78">
        <v>97000</v>
      </c>
    </row>
    <row r="79" spans="1:4" x14ac:dyDescent="0.25">
      <c r="B79" t="s">
        <v>149</v>
      </c>
      <c r="C79">
        <v>110000</v>
      </c>
      <c r="D79">
        <v>110000</v>
      </c>
    </row>
    <row r="80" spans="1:4" x14ac:dyDescent="0.25">
      <c r="B80" t="s">
        <v>150</v>
      </c>
      <c r="C80">
        <v>122000</v>
      </c>
      <c r="D80">
        <v>122000</v>
      </c>
    </row>
    <row r="81" spans="1:4" x14ac:dyDescent="0.25">
      <c r="B81" t="s">
        <v>151</v>
      </c>
      <c r="C81">
        <v>154000</v>
      </c>
      <c r="D81">
        <v>154000</v>
      </c>
    </row>
    <row r="82" spans="1:4" x14ac:dyDescent="0.25">
      <c r="B82" t="s">
        <v>152</v>
      </c>
      <c r="C82">
        <v>237000</v>
      </c>
      <c r="D82">
        <v>237000</v>
      </c>
    </row>
    <row r="83" spans="1:4" x14ac:dyDescent="0.25">
      <c r="B83" t="s">
        <v>153</v>
      </c>
      <c r="C83">
        <v>265000</v>
      </c>
      <c r="D83">
        <v>265000</v>
      </c>
    </row>
    <row r="84" spans="1:4" x14ac:dyDescent="0.25">
      <c r="B84" t="s">
        <v>154</v>
      </c>
      <c r="C84">
        <v>286000</v>
      </c>
      <c r="D84">
        <v>286000</v>
      </c>
    </row>
    <row r="85" spans="1:4" x14ac:dyDescent="0.25">
      <c r="A85" t="s">
        <v>79</v>
      </c>
      <c r="B85" t="s">
        <v>79</v>
      </c>
      <c r="C85">
        <v>140000</v>
      </c>
      <c r="D85">
        <v>140000</v>
      </c>
    </row>
    <row r="86" spans="1:4" x14ac:dyDescent="0.25">
      <c r="A86" t="s">
        <v>77</v>
      </c>
      <c r="B86" t="s">
        <v>77</v>
      </c>
      <c r="C86">
        <v>150500</v>
      </c>
      <c r="D86">
        <v>150500</v>
      </c>
    </row>
    <row r="87" spans="1:4" x14ac:dyDescent="0.25">
      <c r="A87" t="s">
        <v>85</v>
      </c>
      <c r="B87" t="s">
        <v>85</v>
      </c>
      <c r="C87">
        <v>135000</v>
      </c>
      <c r="D87">
        <v>135000</v>
      </c>
    </row>
    <row r="88" spans="1:4" x14ac:dyDescent="0.25">
      <c r="A88" t="s">
        <v>74</v>
      </c>
      <c r="B88" t="s">
        <v>74</v>
      </c>
      <c r="C88">
        <v>132250</v>
      </c>
      <c r="D88">
        <v>132250</v>
      </c>
    </row>
    <row r="89" spans="1:4" x14ac:dyDescent="0.25">
      <c r="A89" t="s">
        <v>90</v>
      </c>
      <c r="B89" t="s">
        <v>90</v>
      </c>
      <c r="C89">
        <v>162250</v>
      </c>
      <c r="D89">
        <v>162250</v>
      </c>
    </row>
    <row r="90" spans="1:4" x14ac:dyDescent="0.25">
      <c r="A90" t="s">
        <v>87</v>
      </c>
      <c r="B90" t="s">
        <v>87</v>
      </c>
      <c r="C90">
        <v>228500</v>
      </c>
      <c r="D90">
        <v>228500</v>
      </c>
    </row>
    <row r="91" spans="1:4" x14ac:dyDescent="0.25">
      <c r="A91" t="s">
        <v>89</v>
      </c>
      <c r="B91" t="s">
        <v>89</v>
      </c>
      <c r="C91">
        <v>138250</v>
      </c>
      <c r="D91">
        <v>138250</v>
      </c>
    </row>
    <row r="92" spans="1:4" x14ac:dyDescent="0.25">
      <c r="A92" t="s">
        <v>88</v>
      </c>
      <c r="B92" t="s">
        <v>88</v>
      </c>
      <c r="C92">
        <v>174500</v>
      </c>
      <c r="D92">
        <v>174500</v>
      </c>
    </row>
    <row r="93" spans="1:4" x14ac:dyDescent="0.25">
      <c r="A93" t="s">
        <v>81</v>
      </c>
      <c r="B93" t="s">
        <v>81</v>
      </c>
      <c r="C93">
        <v>180500</v>
      </c>
      <c r="D93">
        <v>180500</v>
      </c>
    </row>
    <row r="94" spans="1:4" x14ac:dyDescent="0.25">
      <c r="B94" t="s">
        <v>155</v>
      </c>
      <c r="C94">
        <v>77000</v>
      </c>
      <c r="D94">
        <v>77000</v>
      </c>
    </row>
    <row r="95" spans="1:4" x14ac:dyDescent="0.25">
      <c r="B95" t="s">
        <v>156</v>
      </c>
      <c r="C95">
        <v>155000</v>
      </c>
      <c r="D95">
        <v>155000</v>
      </c>
    </row>
    <row r="96" spans="1:4" x14ac:dyDescent="0.25">
      <c r="B96" t="s">
        <v>157</v>
      </c>
      <c r="C96">
        <v>184000</v>
      </c>
      <c r="D96">
        <v>184000</v>
      </c>
    </row>
    <row r="97" spans="1:4" x14ac:dyDescent="0.25">
      <c r="B97" t="s">
        <v>158</v>
      </c>
      <c r="C97">
        <v>250000</v>
      </c>
      <c r="D97">
        <v>250000</v>
      </c>
    </row>
    <row r="98" spans="1:4" x14ac:dyDescent="0.25">
      <c r="B98" t="s">
        <v>159</v>
      </c>
      <c r="C98">
        <v>306000</v>
      </c>
      <c r="D98">
        <v>306000</v>
      </c>
    </row>
    <row r="99" spans="1:4" x14ac:dyDescent="0.25">
      <c r="B99" t="s">
        <v>160</v>
      </c>
      <c r="C99">
        <v>444000</v>
      </c>
      <c r="D99">
        <v>444000</v>
      </c>
    </row>
    <row r="100" spans="1:4" x14ac:dyDescent="0.25">
      <c r="B100" t="s">
        <v>142</v>
      </c>
      <c r="C100">
        <v>83000</v>
      </c>
      <c r="D100">
        <v>83000</v>
      </c>
    </row>
    <row r="101" spans="1:4" x14ac:dyDescent="0.25">
      <c r="B101" t="s">
        <v>143</v>
      </c>
      <c r="C101">
        <v>125000</v>
      </c>
      <c r="D101">
        <v>125000</v>
      </c>
    </row>
    <row r="102" spans="1:4" x14ac:dyDescent="0.25">
      <c r="B102" t="s">
        <v>144</v>
      </c>
      <c r="C102">
        <v>136000</v>
      </c>
      <c r="D102">
        <v>136000</v>
      </c>
    </row>
    <row r="103" spans="1:4" x14ac:dyDescent="0.25">
      <c r="B103" t="s">
        <v>145</v>
      </c>
      <c r="C103">
        <v>149000</v>
      </c>
      <c r="D103">
        <v>149000</v>
      </c>
    </row>
    <row r="104" spans="1:4" x14ac:dyDescent="0.25">
      <c r="A104" t="s">
        <v>65</v>
      </c>
      <c r="B104" t="s">
        <v>65</v>
      </c>
      <c r="C104">
        <v>221000</v>
      </c>
      <c r="D104">
        <v>221000</v>
      </c>
    </row>
    <row r="105" spans="1:4" x14ac:dyDescent="0.25">
      <c r="A105" t="s">
        <v>67</v>
      </c>
      <c r="B105" t="s">
        <v>66</v>
      </c>
      <c r="C105">
        <v>365000</v>
      </c>
      <c r="D105">
        <v>365000</v>
      </c>
    </row>
    <row r="106" spans="1:4" x14ac:dyDescent="0.25">
      <c r="A106" t="s">
        <v>66</v>
      </c>
      <c r="B106" t="s">
        <v>67</v>
      </c>
      <c r="C106">
        <v>403000</v>
      </c>
      <c r="D106">
        <v>403000</v>
      </c>
    </row>
    <row r="107" spans="1:4" x14ac:dyDescent="0.25">
      <c r="A107" t="s">
        <v>73</v>
      </c>
      <c r="B107" t="s">
        <v>73</v>
      </c>
      <c r="C107">
        <v>138250</v>
      </c>
      <c r="D107">
        <v>138250</v>
      </c>
    </row>
    <row r="108" spans="1:4" x14ac:dyDescent="0.25">
      <c r="B108" t="s">
        <v>161</v>
      </c>
      <c r="C108">
        <v>53000</v>
      </c>
      <c r="D108">
        <v>53000</v>
      </c>
    </row>
    <row r="109" spans="1:4" x14ac:dyDescent="0.25">
      <c r="B109" t="s">
        <v>162</v>
      </c>
      <c r="C109">
        <v>84000</v>
      </c>
      <c r="D109">
        <v>84000</v>
      </c>
    </row>
    <row r="110" spans="1:4" x14ac:dyDescent="0.25">
      <c r="B110" t="s">
        <v>163</v>
      </c>
      <c r="C110">
        <v>108000</v>
      </c>
      <c r="D110">
        <v>108000</v>
      </c>
    </row>
    <row r="111" spans="1:4" x14ac:dyDescent="0.25">
      <c r="B111" t="s">
        <v>164</v>
      </c>
      <c r="C111">
        <v>147500</v>
      </c>
      <c r="D111">
        <v>147500</v>
      </c>
    </row>
    <row r="112" spans="1:4" x14ac:dyDescent="0.25">
      <c r="B112" t="s">
        <v>165</v>
      </c>
      <c r="C112">
        <v>216000</v>
      </c>
      <c r="D112">
        <v>216000</v>
      </c>
    </row>
    <row r="113" spans="1:11" x14ac:dyDescent="0.25">
      <c r="B113" t="s">
        <v>166</v>
      </c>
      <c r="C113">
        <v>262000</v>
      </c>
      <c r="D113">
        <v>262000</v>
      </c>
    </row>
    <row r="114" spans="1:11" x14ac:dyDescent="0.25">
      <c r="B114" t="s">
        <v>167</v>
      </c>
      <c r="C114">
        <v>364000</v>
      </c>
      <c r="D114">
        <v>364000</v>
      </c>
    </row>
    <row r="115" spans="1:11" x14ac:dyDescent="0.25">
      <c r="B115" t="s">
        <v>168</v>
      </c>
      <c r="C115">
        <v>500000</v>
      </c>
      <c r="D115">
        <v>500000</v>
      </c>
    </row>
    <row r="116" spans="1:11" x14ac:dyDescent="0.25">
      <c r="A116" t="s">
        <v>75</v>
      </c>
      <c r="B116" t="s">
        <v>75</v>
      </c>
      <c r="C116">
        <v>162250</v>
      </c>
      <c r="D116">
        <v>162250</v>
      </c>
    </row>
    <row r="117" spans="1:11" x14ac:dyDescent="0.25">
      <c r="A117" t="s">
        <v>76</v>
      </c>
      <c r="B117" t="s">
        <v>76</v>
      </c>
      <c r="C117">
        <v>126250</v>
      </c>
      <c r="D117">
        <v>126250</v>
      </c>
    </row>
    <row r="118" spans="1:11" x14ac:dyDescent="0.25">
      <c r="A118" t="s">
        <v>82</v>
      </c>
      <c r="B118" t="s">
        <v>82</v>
      </c>
      <c r="C118">
        <v>158750</v>
      </c>
      <c r="D118">
        <v>158750</v>
      </c>
      <c r="F118" t="s">
        <v>397</v>
      </c>
      <c r="G118">
        <f>VLOOKUP(Dashboard!I23,'Compensation Numbers'!H123:I132,2,FALSE)</f>
        <v>1.0548523206751055</v>
      </c>
    </row>
    <row r="119" spans="1:11" x14ac:dyDescent="0.25">
      <c r="A119" t="s">
        <v>69</v>
      </c>
      <c r="B119" t="s">
        <v>69</v>
      </c>
      <c r="C119">
        <v>227000</v>
      </c>
      <c r="D119">
        <v>227000</v>
      </c>
      <c r="F119" t="s">
        <v>398</v>
      </c>
      <c r="G119">
        <f>VLOOKUP(Dashboard!I24,'Compensation Numbers'!J123:K132,2,FALSE)</f>
        <v>0.9472573839662447</v>
      </c>
    </row>
    <row r="120" spans="1:11" x14ac:dyDescent="0.25">
      <c r="A120" t="s">
        <v>70</v>
      </c>
      <c r="B120" t="s">
        <v>70</v>
      </c>
      <c r="C120">
        <v>217000</v>
      </c>
      <c r="D120">
        <v>217000</v>
      </c>
      <c r="F120" t="s">
        <v>399</v>
      </c>
      <c r="G120">
        <f>VLOOKUP(Dashboard!I27,'Compensation Numbers'!H123:I132,2,FALSE)</f>
        <v>1.0548523206751055</v>
      </c>
    </row>
    <row r="121" spans="1:11" x14ac:dyDescent="0.25">
      <c r="F121" t="s">
        <v>400</v>
      </c>
      <c r="G121">
        <f>VLOOKUP(Dashboard!I28,'Compensation Numbers'!J123:K132,2,FALSE)</f>
        <v>0.9472573839662447</v>
      </c>
    </row>
    <row r="122" spans="1:11" x14ac:dyDescent="0.25">
      <c r="B122" s="11" t="s">
        <v>122</v>
      </c>
      <c r="F122" s="101" t="s">
        <v>170</v>
      </c>
      <c r="G122" s="103"/>
      <c r="H122" s="101" t="s">
        <v>169</v>
      </c>
      <c r="I122" s="102"/>
      <c r="J122" s="102"/>
      <c r="K122" s="103"/>
    </row>
    <row r="123" spans="1:11" x14ac:dyDescent="0.25">
      <c r="B123" s="3" t="s">
        <v>123</v>
      </c>
      <c r="C123">
        <f>$G123*$G$118*$G$119</f>
        <v>189451.47679324893</v>
      </c>
      <c r="D123">
        <f>$G123*$G$118*$G$119</f>
        <v>189451.47679324893</v>
      </c>
      <c r="F123" s="3" t="s">
        <v>123</v>
      </c>
      <c r="G123" s="9">
        <v>189600</v>
      </c>
      <c r="H123" s="7" t="s">
        <v>141</v>
      </c>
      <c r="I123" s="21">
        <v>1.0548523206751055</v>
      </c>
      <c r="J123" s="9" t="s">
        <v>141</v>
      </c>
      <c r="K123" s="17">
        <v>0.9472573839662447</v>
      </c>
    </row>
    <row r="124" spans="1:11" x14ac:dyDescent="0.25">
      <c r="B124" s="3" t="s">
        <v>171</v>
      </c>
      <c r="C124">
        <f t="shared" ref="C124:D131" si="0">$G124*$G$118*$G$119</f>
        <v>100850.93645961295</v>
      </c>
      <c r="D124">
        <f t="shared" si="0"/>
        <v>100850.93645961295</v>
      </c>
      <c r="F124" s="3" t="s">
        <v>171</v>
      </c>
      <c r="G124" s="9">
        <v>100930</v>
      </c>
      <c r="H124" s="3" t="s">
        <v>124</v>
      </c>
      <c r="I124" s="17">
        <v>1.0548523206751055</v>
      </c>
      <c r="J124" s="26" t="s">
        <v>133</v>
      </c>
      <c r="K124" s="17">
        <v>0.9472573839662447</v>
      </c>
    </row>
    <row r="125" spans="1:11" x14ac:dyDescent="0.25">
      <c r="B125" s="3" t="s">
        <v>172</v>
      </c>
      <c r="C125">
        <f t="shared" si="0"/>
        <v>134184.80389538713</v>
      </c>
      <c r="D125">
        <f t="shared" si="0"/>
        <v>134184.80389538713</v>
      </c>
      <c r="F125" s="3" t="s">
        <v>172</v>
      </c>
      <c r="G125" s="9">
        <v>134290</v>
      </c>
      <c r="H125" s="3" t="s">
        <v>125</v>
      </c>
      <c r="I125" s="17">
        <v>1.0680379746835442</v>
      </c>
      <c r="J125" s="9" t="s">
        <v>134</v>
      </c>
      <c r="K125" s="17">
        <v>1.1740506329113924</v>
      </c>
    </row>
    <row r="126" spans="1:11" x14ac:dyDescent="0.25">
      <c r="B126" s="3" t="s">
        <v>173</v>
      </c>
      <c r="C126">
        <f t="shared" si="0"/>
        <v>124122.69223237017</v>
      </c>
      <c r="D126">
        <f t="shared" si="0"/>
        <v>124122.69223237017</v>
      </c>
      <c r="F126" s="3" t="s">
        <v>173</v>
      </c>
      <c r="G126" s="27">
        <v>124220</v>
      </c>
      <c r="H126" s="3" t="s">
        <v>126</v>
      </c>
      <c r="I126" s="17">
        <v>1.1603375527426161</v>
      </c>
      <c r="J126" s="9" t="s">
        <v>135</v>
      </c>
      <c r="K126" s="17">
        <v>1.2030590717299579</v>
      </c>
    </row>
    <row r="127" spans="1:11" x14ac:dyDescent="0.25">
      <c r="B127" s="3" t="s">
        <v>174</v>
      </c>
      <c r="C127">
        <f t="shared" si="0"/>
        <v>142418.34908935532</v>
      </c>
      <c r="D127">
        <f t="shared" si="0"/>
        <v>142418.34908935532</v>
      </c>
      <c r="F127" s="3" t="s">
        <v>174</v>
      </c>
      <c r="G127" s="27">
        <v>142530</v>
      </c>
      <c r="H127" s="3" t="s">
        <v>127</v>
      </c>
      <c r="I127" s="17">
        <v>1.2666350210970465</v>
      </c>
      <c r="J127" s="9" t="s">
        <v>136</v>
      </c>
      <c r="K127" s="17">
        <v>1.3274525316455696</v>
      </c>
    </row>
    <row r="128" spans="1:11" x14ac:dyDescent="0.25">
      <c r="B128" s="3" t="s">
        <v>175</v>
      </c>
      <c r="C128">
        <f t="shared" si="0"/>
        <v>113211.24641706279</v>
      </c>
      <c r="D128">
        <f t="shared" si="0"/>
        <v>113211.24641706279</v>
      </c>
      <c r="F128" s="3" t="s">
        <v>175</v>
      </c>
      <c r="G128" s="27">
        <v>113300</v>
      </c>
      <c r="H128" s="3" t="s">
        <v>129</v>
      </c>
      <c r="I128" s="17">
        <v>1.4472573839662448</v>
      </c>
      <c r="J128" s="9" t="s">
        <v>137</v>
      </c>
      <c r="K128" s="17">
        <v>1.5277004219409283</v>
      </c>
    </row>
    <row r="129" spans="2:11" x14ac:dyDescent="0.25">
      <c r="B129" s="3" t="s">
        <v>176</v>
      </c>
      <c r="C129">
        <f t="shared" si="0"/>
        <v>123623.08390749345</v>
      </c>
      <c r="D129">
        <f t="shared" si="0"/>
        <v>123623.08390749345</v>
      </c>
      <c r="F129" s="3" t="s">
        <v>176</v>
      </c>
      <c r="G129" s="27">
        <v>123720</v>
      </c>
      <c r="H129" s="3" t="s">
        <v>128</v>
      </c>
      <c r="I129" s="17">
        <v>1.6876898734177215</v>
      </c>
      <c r="J129" s="9" t="s">
        <v>138</v>
      </c>
      <c r="K129" s="17">
        <v>1.6872362869198312</v>
      </c>
    </row>
    <row r="130" spans="2:11" x14ac:dyDescent="0.25">
      <c r="B130" s="3" t="s">
        <v>177</v>
      </c>
      <c r="C130">
        <f t="shared" si="0"/>
        <v>130717.52212074275</v>
      </c>
      <c r="D130">
        <f t="shared" si="0"/>
        <v>130717.52212074275</v>
      </c>
      <c r="F130" s="3" t="s">
        <v>177</v>
      </c>
      <c r="G130" s="27">
        <v>130820</v>
      </c>
      <c r="H130" s="3" t="s">
        <v>130</v>
      </c>
      <c r="I130" s="17">
        <v>2.0133333333333332</v>
      </c>
      <c r="J130" s="9" t="s">
        <v>139</v>
      </c>
      <c r="K130" s="17">
        <v>1.32042194092827</v>
      </c>
    </row>
    <row r="131" spans="2:11" x14ac:dyDescent="0.25">
      <c r="B131" s="3" t="s">
        <v>178</v>
      </c>
      <c r="C131">
        <f t="shared" si="0"/>
        <v>123762.97423845893</v>
      </c>
      <c r="D131">
        <f t="shared" si="0"/>
        <v>123762.97423845893</v>
      </c>
      <c r="F131" s="3" t="s">
        <v>178</v>
      </c>
      <c r="G131" s="27">
        <v>123860</v>
      </c>
      <c r="H131" s="3" t="s">
        <v>131</v>
      </c>
      <c r="I131" s="17">
        <v>2.7885021097046412</v>
      </c>
      <c r="J131" s="9" t="s">
        <v>140</v>
      </c>
      <c r="K131" s="17">
        <v>2.9337447257383968</v>
      </c>
    </row>
    <row r="132" spans="2:11" x14ac:dyDescent="0.25">
      <c r="F132" s="2"/>
      <c r="G132" s="1"/>
      <c r="H132" s="2" t="s">
        <v>132</v>
      </c>
      <c r="I132" s="20">
        <v>3.3609177215189874</v>
      </c>
      <c r="J132" s="1"/>
      <c r="K132" s="20"/>
    </row>
    <row r="134" spans="2:11" x14ac:dyDescent="0.25">
      <c r="B134" s="11" t="s">
        <v>181</v>
      </c>
    </row>
    <row r="135" spans="2:11" x14ac:dyDescent="0.25">
      <c r="B135" t="s">
        <v>182</v>
      </c>
      <c r="C135">
        <v>130376</v>
      </c>
      <c r="D135">
        <v>130376</v>
      </c>
    </row>
    <row r="136" spans="2:11" x14ac:dyDescent="0.25">
      <c r="B136" t="s">
        <v>183</v>
      </c>
      <c r="C136">
        <v>93785</v>
      </c>
      <c r="D136">
        <v>93785</v>
      </c>
    </row>
    <row r="137" spans="2:11" x14ac:dyDescent="0.25">
      <c r="B137" t="s">
        <v>184</v>
      </c>
      <c r="C137">
        <v>81626</v>
      </c>
      <c r="D137">
        <v>81626</v>
      </c>
    </row>
    <row r="138" spans="2:11" x14ac:dyDescent="0.25">
      <c r="B138" t="s">
        <v>185</v>
      </c>
      <c r="C138">
        <v>62259</v>
      </c>
      <c r="D138">
        <v>62259</v>
      </c>
    </row>
    <row r="139" spans="2:11" x14ac:dyDescent="0.25">
      <c r="B139" t="s">
        <v>186</v>
      </c>
      <c r="C139">
        <v>59300</v>
      </c>
      <c r="D139">
        <v>59300</v>
      </c>
    </row>
    <row r="140" spans="2:11" x14ac:dyDescent="0.25">
      <c r="B140" t="s">
        <v>187</v>
      </c>
      <c r="C140">
        <v>176953</v>
      </c>
      <c r="D140">
        <v>176953</v>
      </c>
    </row>
    <row r="141" spans="2:11" x14ac:dyDescent="0.25">
      <c r="B141" t="s">
        <v>188</v>
      </c>
      <c r="C141">
        <v>118236</v>
      </c>
      <c r="D141">
        <v>118236</v>
      </c>
    </row>
    <row r="142" spans="2:11" x14ac:dyDescent="0.25">
      <c r="B142" t="s">
        <v>189</v>
      </c>
      <c r="C142">
        <v>103873</v>
      </c>
      <c r="D142">
        <v>103873</v>
      </c>
    </row>
    <row r="143" spans="2:11" x14ac:dyDescent="0.25">
      <c r="B143" t="s">
        <v>190</v>
      </c>
      <c r="C143">
        <v>76685</v>
      </c>
      <c r="D143">
        <v>76685</v>
      </c>
    </row>
    <row r="144" spans="2:11" x14ac:dyDescent="0.25">
      <c r="B144" t="s">
        <v>191</v>
      </c>
      <c r="C144">
        <v>75667</v>
      </c>
      <c r="D144">
        <v>75667</v>
      </c>
    </row>
    <row r="145" spans="2:4" x14ac:dyDescent="0.25">
      <c r="B145" t="s">
        <v>192</v>
      </c>
      <c r="C145">
        <v>145035</v>
      </c>
      <c r="D145">
        <v>145035</v>
      </c>
    </row>
    <row r="146" spans="2:4" x14ac:dyDescent="0.25">
      <c r="B146" t="s">
        <v>193</v>
      </c>
      <c r="C146">
        <v>103420</v>
      </c>
      <c r="D146">
        <v>103420</v>
      </c>
    </row>
    <row r="147" spans="2:4" x14ac:dyDescent="0.25">
      <c r="B147" t="s">
        <v>194</v>
      </c>
      <c r="C147">
        <v>89708</v>
      </c>
      <c r="D147">
        <v>89708</v>
      </c>
    </row>
    <row r="148" spans="2:4" x14ac:dyDescent="0.25">
      <c r="B148" t="s">
        <v>195</v>
      </c>
      <c r="C148">
        <v>67319</v>
      </c>
      <c r="D148">
        <v>67319</v>
      </c>
    </row>
    <row r="149" spans="2:4" x14ac:dyDescent="0.25">
      <c r="B149" t="s">
        <v>196</v>
      </c>
      <c r="C149">
        <v>74763</v>
      </c>
      <c r="D149">
        <v>74763</v>
      </c>
    </row>
    <row r="150" spans="2:4" x14ac:dyDescent="0.25">
      <c r="B150" t="s">
        <v>413</v>
      </c>
      <c r="C150">
        <v>102399</v>
      </c>
      <c r="D150">
        <v>102399</v>
      </c>
    </row>
    <row r="151" spans="2:4" ht="17.25" x14ac:dyDescent="0.25">
      <c r="B151" t="s">
        <v>198</v>
      </c>
      <c r="C151">
        <v>526399</v>
      </c>
      <c r="D151">
        <v>526399</v>
      </c>
    </row>
    <row r="152" spans="2:4" ht="17.25" x14ac:dyDescent="0.25">
      <c r="B152" t="s">
        <v>199</v>
      </c>
      <c r="C152">
        <v>323690</v>
      </c>
      <c r="D152">
        <v>323690</v>
      </c>
    </row>
    <row r="153" spans="2:4" ht="17.25" x14ac:dyDescent="0.25">
      <c r="B153" t="s">
        <v>200</v>
      </c>
      <c r="C153">
        <v>311702</v>
      </c>
      <c r="D153">
        <v>311702</v>
      </c>
    </row>
    <row r="154" spans="2:4" ht="17.25" x14ac:dyDescent="0.25">
      <c r="B154" t="s">
        <v>201</v>
      </c>
      <c r="C154">
        <v>262454</v>
      </c>
      <c r="D154">
        <v>262454</v>
      </c>
    </row>
    <row r="155" spans="2:4" ht="17.25" x14ac:dyDescent="0.25">
      <c r="B155" t="s">
        <v>202</v>
      </c>
      <c r="C155">
        <v>361472</v>
      </c>
      <c r="D155">
        <v>361472</v>
      </c>
    </row>
    <row r="156" spans="2:4" ht="17.25" x14ac:dyDescent="0.25">
      <c r="B156" t="s">
        <v>203</v>
      </c>
      <c r="C156">
        <v>232046</v>
      </c>
      <c r="D156">
        <v>232046</v>
      </c>
    </row>
    <row r="157" spans="2:4" ht="17.25" x14ac:dyDescent="0.25">
      <c r="B157" t="s">
        <v>204</v>
      </c>
      <c r="C157">
        <v>176611</v>
      </c>
      <c r="D157">
        <v>176611</v>
      </c>
    </row>
    <row r="158" spans="2:4" ht="17.25" x14ac:dyDescent="0.25">
      <c r="B158" t="s">
        <v>205</v>
      </c>
      <c r="C158">
        <v>169012</v>
      </c>
      <c r="D158">
        <v>169012</v>
      </c>
    </row>
    <row r="159" spans="2:4" ht="17.25" x14ac:dyDescent="0.25">
      <c r="B159" t="s">
        <v>206</v>
      </c>
      <c r="C159">
        <v>361472</v>
      </c>
      <c r="D159">
        <v>361472</v>
      </c>
    </row>
    <row r="160" spans="2:4" ht="17.25" x14ac:dyDescent="0.25">
      <c r="B160" t="s">
        <v>207</v>
      </c>
      <c r="C160">
        <v>232046</v>
      </c>
      <c r="D160">
        <v>232046</v>
      </c>
    </row>
    <row r="161" spans="2:4" ht="17.25" x14ac:dyDescent="0.25">
      <c r="B161" t="s">
        <v>208</v>
      </c>
      <c r="C161">
        <v>176611</v>
      </c>
      <c r="D161">
        <v>176611</v>
      </c>
    </row>
    <row r="162" spans="2:4" ht="17.25" x14ac:dyDescent="0.25">
      <c r="B162" t="s">
        <v>209</v>
      </c>
      <c r="C162">
        <v>169012</v>
      </c>
      <c r="D162">
        <v>169012</v>
      </c>
    </row>
    <row r="164" spans="2:4" x14ac:dyDescent="0.25">
      <c r="B164" s="11" t="s">
        <v>211</v>
      </c>
    </row>
    <row r="165" spans="2:4" x14ac:dyDescent="0.25">
      <c r="B165" t="s">
        <v>212</v>
      </c>
      <c r="C165">
        <v>143750</v>
      </c>
      <c r="D165">
        <v>143750</v>
      </c>
    </row>
    <row r="166" spans="2:4" x14ac:dyDescent="0.25">
      <c r="B166" t="s">
        <v>213</v>
      </c>
      <c r="C166">
        <v>125500</v>
      </c>
      <c r="D166">
        <v>125500</v>
      </c>
    </row>
    <row r="167" spans="2:4" x14ac:dyDescent="0.25">
      <c r="B167" t="s">
        <v>214</v>
      </c>
      <c r="C167">
        <v>106750</v>
      </c>
      <c r="D167">
        <v>106750</v>
      </c>
    </row>
    <row r="168" spans="2:4" x14ac:dyDescent="0.25">
      <c r="B168" t="s">
        <v>215</v>
      </c>
      <c r="C168">
        <v>84250</v>
      </c>
      <c r="D168">
        <v>84250</v>
      </c>
    </row>
    <row r="169" spans="2:4" x14ac:dyDescent="0.25">
      <c r="B169" t="s">
        <v>216</v>
      </c>
      <c r="C169">
        <v>205750</v>
      </c>
      <c r="D169">
        <v>205750</v>
      </c>
    </row>
    <row r="170" spans="2:4" x14ac:dyDescent="0.25">
      <c r="B170" t="s">
        <v>217</v>
      </c>
      <c r="C170">
        <v>169750</v>
      </c>
      <c r="D170">
        <v>169750</v>
      </c>
    </row>
    <row r="171" spans="2:4" x14ac:dyDescent="0.25">
      <c r="B171" t="s">
        <v>218</v>
      </c>
      <c r="C171">
        <v>133250</v>
      </c>
      <c r="D171">
        <v>133250</v>
      </c>
    </row>
    <row r="172" spans="2:4" x14ac:dyDescent="0.25">
      <c r="B172" t="s">
        <v>219</v>
      </c>
      <c r="C172">
        <v>109750</v>
      </c>
      <c r="D172">
        <v>109750</v>
      </c>
    </row>
    <row r="173" spans="2:4" x14ac:dyDescent="0.25">
      <c r="B173" t="s">
        <v>221</v>
      </c>
      <c r="C173">
        <v>91500</v>
      </c>
      <c r="D173">
        <v>91500</v>
      </c>
    </row>
    <row r="174" spans="2:4" x14ac:dyDescent="0.25">
      <c r="B174" t="s">
        <v>222</v>
      </c>
      <c r="C174">
        <v>86500</v>
      </c>
      <c r="D174">
        <v>86500</v>
      </c>
    </row>
    <row r="175" spans="2:4" x14ac:dyDescent="0.25">
      <c r="B175" t="s">
        <v>223</v>
      </c>
      <c r="C175">
        <v>68250</v>
      </c>
      <c r="D175">
        <v>68250</v>
      </c>
    </row>
    <row r="176" spans="2:4" x14ac:dyDescent="0.25">
      <c r="B176" t="s">
        <v>224</v>
      </c>
      <c r="C176">
        <v>53000</v>
      </c>
      <c r="D176">
        <v>53000</v>
      </c>
    </row>
    <row r="177" spans="2:4" x14ac:dyDescent="0.25">
      <c r="B177" t="s">
        <v>225</v>
      </c>
      <c r="C177">
        <v>47750</v>
      </c>
      <c r="D177">
        <v>47750</v>
      </c>
    </row>
    <row r="178" spans="2:4" x14ac:dyDescent="0.25">
      <c r="B178" t="s">
        <v>226</v>
      </c>
      <c r="C178">
        <v>74000</v>
      </c>
      <c r="D178">
        <v>74000</v>
      </c>
    </row>
    <row r="179" spans="2:4" x14ac:dyDescent="0.25">
      <c r="B179" t="s">
        <v>227</v>
      </c>
      <c r="C179">
        <v>58750</v>
      </c>
      <c r="D179">
        <v>58750</v>
      </c>
    </row>
    <row r="180" spans="2:4" x14ac:dyDescent="0.25">
      <c r="B180" t="s">
        <v>220</v>
      </c>
      <c r="C180">
        <v>62500</v>
      </c>
      <c r="D180">
        <v>62500</v>
      </c>
    </row>
    <row r="181" spans="2:4" x14ac:dyDescent="0.25">
      <c r="B181" t="s">
        <v>228</v>
      </c>
      <c r="C181">
        <v>55000</v>
      </c>
      <c r="D181">
        <v>55000</v>
      </c>
    </row>
    <row r="182" spans="2:4" x14ac:dyDescent="0.25">
      <c r="B182" t="s">
        <v>229</v>
      </c>
      <c r="C182">
        <v>134500</v>
      </c>
      <c r="D182">
        <v>134500</v>
      </c>
    </row>
    <row r="183" spans="2:4" x14ac:dyDescent="0.25">
      <c r="B183" t="s">
        <v>230</v>
      </c>
      <c r="C183">
        <v>90250</v>
      </c>
      <c r="D183">
        <v>90250</v>
      </c>
    </row>
  </sheetData>
  <sortState ref="A3:A57">
    <sortCondition ref="A57"/>
  </sortState>
  <mergeCells count="2">
    <mergeCell ref="H122:K122"/>
    <mergeCell ref="F122:G1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0ECB-2E35-4F52-A740-924C6C0EE63D}">
  <sheetPr codeName="Sheet5"/>
  <dimension ref="A1:B139"/>
  <sheetViews>
    <sheetView topLeftCell="A102" workbookViewId="0"/>
  </sheetViews>
  <sheetFormatPr defaultRowHeight="15" x14ac:dyDescent="0.25"/>
  <cols>
    <col min="1" max="1" width="19.7109375" bestFit="1" customWidth="1"/>
  </cols>
  <sheetData>
    <row r="1" spans="1:2" x14ac:dyDescent="0.25">
      <c r="A1" t="s">
        <v>232</v>
      </c>
      <c r="B1">
        <v>1</v>
      </c>
    </row>
    <row r="2" spans="1:2" x14ac:dyDescent="0.25">
      <c r="A2" t="s">
        <v>233</v>
      </c>
      <c r="B2">
        <v>0.95</v>
      </c>
    </row>
    <row r="3" spans="1:2" x14ac:dyDescent="0.25">
      <c r="A3" t="s">
        <v>234</v>
      </c>
      <c r="B3">
        <v>0.94</v>
      </c>
    </row>
    <row r="4" spans="1:2" x14ac:dyDescent="0.25">
      <c r="A4" t="s">
        <v>235</v>
      </c>
      <c r="B4">
        <v>0.86</v>
      </c>
    </row>
    <row r="5" spans="1:2" x14ac:dyDescent="0.25">
      <c r="A5" t="s">
        <v>236</v>
      </c>
      <c r="B5">
        <v>1.1299999999999999</v>
      </c>
    </row>
    <row r="6" spans="1:2" x14ac:dyDescent="0.25">
      <c r="A6" t="s">
        <v>237</v>
      </c>
      <c r="B6">
        <v>1.05</v>
      </c>
    </row>
    <row r="7" spans="1:2" x14ac:dyDescent="0.25">
      <c r="A7" t="s">
        <v>238</v>
      </c>
      <c r="B7">
        <v>0.95</v>
      </c>
    </row>
    <row r="8" spans="1:2" x14ac:dyDescent="0.25">
      <c r="A8" t="s">
        <v>239</v>
      </c>
      <c r="B8">
        <v>0.95</v>
      </c>
    </row>
    <row r="9" spans="1:2" x14ac:dyDescent="0.25">
      <c r="A9" t="s">
        <v>240</v>
      </c>
      <c r="B9">
        <v>0.9</v>
      </c>
    </row>
    <row r="10" spans="1:2" x14ac:dyDescent="0.25">
      <c r="A10" t="s">
        <v>241</v>
      </c>
      <c r="B10">
        <v>1.3</v>
      </c>
    </row>
    <row r="11" spans="1:2" x14ac:dyDescent="0.25">
      <c r="A11" t="s">
        <v>242</v>
      </c>
      <c r="B11">
        <v>1.31</v>
      </c>
    </row>
    <row r="12" spans="1:2" x14ac:dyDescent="0.25">
      <c r="A12" t="s">
        <v>243</v>
      </c>
      <c r="B12">
        <v>1.2949999999999999</v>
      </c>
    </row>
    <row r="13" spans="1:2" x14ac:dyDescent="0.25">
      <c r="A13" t="s">
        <v>244</v>
      </c>
      <c r="B13">
        <v>1.2</v>
      </c>
    </row>
    <row r="14" spans="1:2" x14ac:dyDescent="0.25">
      <c r="A14" t="s">
        <v>245</v>
      </c>
      <c r="B14">
        <v>1.05</v>
      </c>
    </row>
    <row r="15" spans="1:2" x14ac:dyDescent="0.25">
      <c r="A15" t="s">
        <v>119</v>
      </c>
      <c r="B15">
        <v>1.26</v>
      </c>
    </row>
    <row r="16" spans="1:2" x14ac:dyDescent="0.25">
      <c r="A16" t="s">
        <v>246</v>
      </c>
      <c r="B16">
        <v>1.4</v>
      </c>
    </row>
    <row r="17" spans="1:2" x14ac:dyDescent="0.25">
      <c r="A17" t="s">
        <v>247</v>
      </c>
      <c r="B17">
        <v>1.375</v>
      </c>
    </row>
    <row r="18" spans="1:2" x14ac:dyDescent="0.25">
      <c r="A18" t="s">
        <v>248</v>
      </c>
      <c r="B18">
        <v>1.3</v>
      </c>
    </row>
    <row r="19" spans="1:2" x14ac:dyDescent="0.25">
      <c r="A19" t="s">
        <v>249</v>
      </c>
      <c r="B19">
        <v>1.27</v>
      </c>
    </row>
    <row r="20" spans="1:2" x14ac:dyDescent="0.25">
      <c r="A20" t="s">
        <v>250</v>
      </c>
      <c r="B20">
        <v>1.2</v>
      </c>
    </row>
    <row r="21" spans="1:2" x14ac:dyDescent="0.25">
      <c r="A21" t="s">
        <v>251</v>
      </c>
      <c r="B21">
        <v>0.85</v>
      </c>
    </row>
    <row r="22" spans="1:2" x14ac:dyDescent="0.25">
      <c r="A22" t="s">
        <v>252</v>
      </c>
      <c r="B22">
        <v>1.175</v>
      </c>
    </row>
    <row r="23" spans="1:2" x14ac:dyDescent="0.25">
      <c r="A23" t="s">
        <v>253</v>
      </c>
      <c r="B23">
        <v>0.96499999999999997</v>
      </c>
    </row>
    <row r="24" spans="1:2" x14ac:dyDescent="0.25">
      <c r="A24" t="s">
        <v>120</v>
      </c>
      <c r="B24">
        <v>1.0900000000000001</v>
      </c>
    </row>
    <row r="25" spans="1:2" x14ac:dyDescent="0.25">
      <c r="A25" t="s">
        <v>254</v>
      </c>
      <c r="B25">
        <v>0.98</v>
      </c>
    </row>
    <row r="26" spans="1:2" x14ac:dyDescent="0.25">
      <c r="A26" t="s">
        <v>255</v>
      </c>
      <c r="B26">
        <v>0.89</v>
      </c>
    </row>
    <row r="27" spans="1:2" x14ac:dyDescent="0.25">
      <c r="A27" t="s">
        <v>256</v>
      </c>
      <c r="B27">
        <v>0.95</v>
      </c>
    </row>
    <row r="28" spans="1:2" x14ac:dyDescent="0.25">
      <c r="A28" t="s">
        <v>257</v>
      </c>
      <c r="B28">
        <v>0.83</v>
      </c>
    </row>
    <row r="29" spans="1:2" x14ac:dyDescent="0.25">
      <c r="A29" t="s">
        <v>258</v>
      </c>
      <c r="B29">
        <v>1.17</v>
      </c>
    </row>
    <row r="30" spans="1:2" x14ac:dyDescent="0.25">
      <c r="A30" t="s">
        <v>259</v>
      </c>
      <c r="B30">
        <v>1.1200000000000001</v>
      </c>
    </row>
    <row r="31" spans="1:2" x14ac:dyDescent="0.25">
      <c r="A31" t="s">
        <v>260</v>
      </c>
      <c r="B31">
        <v>1.31</v>
      </c>
    </row>
    <row r="32" spans="1:2" x14ac:dyDescent="0.25">
      <c r="A32" t="s">
        <v>261</v>
      </c>
      <c r="B32">
        <v>1.05</v>
      </c>
    </row>
    <row r="33" spans="1:2" x14ac:dyDescent="0.25">
      <c r="A33" t="s">
        <v>262</v>
      </c>
      <c r="B33">
        <v>1.33</v>
      </c>
    </row>
    <row r="34" spans="1:2" x14ac:dyDescent="0.25">
      <c r="A34" t="s">
        <v>263</v>
      </c>
      <c r="B34">
        <v>0.91</v>
      </c>
    </row>
    <row r="35" spans="1:2" x14ac:dyDescent="0.25">
      <c r="A35" t="s">
        <v>264</v>
      </c>
      <c r="B35">
        <v>0.95499999999999996</v>
      </c>
    </row>
    <row r="36" spans="1:2" x14ac:dyDescent="0.25">
      <c r="A36" t="s">
        <v>265</v>
      </c>
      <c r="B36">
        <v>0.90500000000000003</v>
      </c>
    </row>
    <row r="37" spans="1:2" x14ac:dyDescent="0.25">
      <c r="A37" t="s">
        <v>266</v>
      </c>
      <c r="B37">
        <v>1.0649999999999999</v>
      </c>
    </row>
    <row r="38" spans="1:2" x14ac:dyDescent="0.25">
      <c r="A38" t="s">
        <v>267</v>
      </c>
      <c r="B38">
        <v>1.0049999999999999</v>
      </c>
    </row>
    <row r="39" spans="1:2" x14ac:dyDescent="0.25">
      <c r="A39" t="s">
        <v>268</v>
      </c>
      <c r="B39">
        <v>0.97</v>
      </c>
    </row>
    <row r="40" spans="1:2" x14ac:dyDescent="0.25">
      <c r="A40" t="s">
        <v>269</v>
      </c>
      <c r="B40">
        <v>0.99</v>
      </c>
    </row>
    <row r="41" spans="1:2" x14ac:dyDescent="0.25">
      <c r="A41" t="s">
        <v>270</v>
      </c>
      <c r="B41">
        <v>1.01</v>
      </c>
    </row>
    <row r="42" spans="1:2" x14ac:dyDescent="0.25">
      <c r="A42" t="s">
        <v>271</v>
      </c>
      <c r="B42">
        <v>1.06</v>
      </c>
    </row>
    <row r="43" spans="1:2" x14ac:dyDescent="0.25">
      <c r="A43" t="s">
        <v>272</v>
      </c>
      <c r="B43">
        <v>0.84</v>
      </c>
    </row>
    <row r="44" spans="1:2" x14ac:dyDescent="0.25">
      <c r="A44" t="s">
        <v>273</v>
      </c>
      <c r="B44">
        <v>0.85</v>
      </c>
    </row>
    <row r="45" spans="1:2" x14ac:dyDescent="0.25">
      <c r="A45" t="s">
        <v>274</v>
      </c>
      <c r="B45">
        <v>1.07</v>
      </c>
    </row>
    <row r="46" spans="1:2" x14ac:dyDescent="0.25">
      <c r="A46" t="s">
        <v>275</v>
      </c>
      <c r="B46">
        <v>0.86099999999999999</v>
      </c>
    </row>
    <row r="47" spans="1:2" x14ac:dyDescent="0.25">
      <c r="A47" t="s">
        <v>276</v>
      </c>
      <c r="B47">
        <v>1.2350000000000001</v>
      </c>
    </row>
    <row r="48" spans="1:2" x14ac:dyDescent="0.25">
      <c r="A48" t="s">
        <v>277</v>
      </c>
      <c r="B48">
        <v>1.1200000000000001</v>
      </c>
    </row>
    <row r="49" spans="1:2" x14ac:dyDescent="0.25">
      <c r="A49" t="s">
        <v>278</v>
      </c>
      <c r="B49">
        <v>0.85</v>
      </c>
    </row>
    <row r="50" spans="1:2" x14ac:dyDescent="0.25">
      <c r="A50" t="s">
        <v>279</v>
      </c>
      <c r="B50">
        <v>0.84</v>
      </c>
    </row>
    <row r="51" spans="1:2" x14ac:dyDescent="0.25">
      <c r="A51" t="s">
        <v>280</v>
      </c>
      <c r="B51">
        <v>0.97</v>
      </c>
    </row>
    <row r="52" spans="1:2" x14ac:dyDescent="0.25">
      <c r="A52" t="s">
        <v>281</v>
      </c>
      <c r="B52">
        <v>0.94</v>
      </c>
    </row>
    <row r="53" spans="1:2" x14ac:dyDescent="0.25">
      <c r="A53" t="s">
        <v>282</v>
      </c>
      <c r="B53">
        <v>0.95</v>
      </c>
    </row>
    <row r="54" spans="1:2" x14ac:dyDescent="0.25">
      <c r="A54" t="s">
        <v>283</v>
      </c>
      <c r="B54">
        <v>1</v>
      </c>
    </row>
    <row r="55" spans="1:2" x14ac:dyDescent="0.25">
      <c r="A55" t="s">
        <v>284</v>
      </c>
      <c r="B55">
        <v>0.84</v>
      </c>
    </row>
    <row r="56" spans="1:2" x14ac:dyDescent="0.25">
      <c r="A56" t="s">
        <v>285</v>
      </c>
      <c r="B56">
        <v>0.87</v>
      </c>
    </row>
    <row r="57" spans="1:2" x14ac:dyDescent="0.25">
      <c r="A57" t="s">
        <v>286</v>
      </c>
      <c r="B57">
        <v>1.0049999999999999</v>
      </c>
    </row>
    <row r="58" spans="1:2" x14ac:dyDescent="0.25">
      <c r="A58" t="s">
        <v>287</v>
      </c>
      <c r="B58">
        <v>0.91500000000000004</v>
      </c>
    </row>
    <row r="59" spans="1:2" x14ac:dyDescent="0.25">
      <c r="A59" t="s">
        <v>288</v>
      </c>
      <c r="B59">
        <v>0.92</v>
      </c>
    </row>
    <row r="60" spans="1:2" x14ac:dyDescent="0.25">
      <c r="A60" t="s">
        <v>289</v>
      </c>
      <c r="B60">
        <v>0.99</v>
      </c>
    </row>
    <row r="61" spans="1:2" x14ac:dyDescent="0.25">
      <c r="A61" t="s">
        <v>290</v>
      </c>
      <c r="B61">
        <v>0.99</v>
      </c>
    </row>
    <row r="62" spans="1:2" x14ac:dyDescent="0.25">
      <c r="A62" t="s">
        <v>291</v>
      </c>
      <c r="B62">
        <v>0.95</v>
      </c>
    </row>
    <row r="63" spans="1:2" x14ac:dyDescent="0.25">
      <c r="A63" t="s">
        <v>292</v>
      </c>
      <c r="B63">
        <v>1.03</v>
      </c>
    </row>
    <row r="64" spans="1:2" x14ac:dyDescent="0.25">
      <c r="A64" t="s">
        <v>293</v>
      </c>
      <c r="B64">
        <v>1.34</v>
      </c>
    </row>
    <row r="65" spans="1:2" x14ac:dyDescent="0.25">
      <c r="A65" t="s">
        <v>294</v>
      </c>
      <c r="B65">
        <v>1.01</v>
      </c>
    </row>
    <row r="66" spans="1:2" x14ac:dyDescent="0.25">
      <c r="A66" t="s">
        <v>295</v>
      </c>
      <c r="B66">
        <v>1.0149999999999999</v>
      </c>
    </row>
    <row r="67" spans="1:2" x14ac:dyDescent="0.25">
      <c r="A67" t="s">
        <v>296</v>
      </c>
      <c r="B67">
        <v>1</v>
      </c>
    </row>
    <row r="68" spans="1:2" x14ac:dyDescent="0.25">
      <c r="A68" t="s">
        <v>297</v>
      </c>
      <c r="B68">
        <v>0.85499999999999998</v>
      </c>
    </row>
    <row r="69" spans="1:2" x14ac:dyDescent="0.25">
      <c r="A69" t="s">
        <v>298</v>
      </c>
      <c r="B69">
        <v>0.8</v>
      </c>
    </row>
    <row r="70" spans="1:2" x14ac:dyDescent="0.25">
      <c r="A70" t="s">
        <v>299</v>
      </c>
      <c r="B70">
        <v>0.85</v>
      </c>
    </row>
    <row r="71" spans="1:2" x14ac:dyDescent="0.25">
      <c r="A71" t="s">
        <v>300</v>
      </c>
      <c r="B71">
        <v>1.0649999999999999</v>
      </c>
    </row>
    <row r="72" spans="1:2" x14ac:dyDescent="0.25">
      <c r="A72" t="s">
        <v>301</v>
      </c>
      <c r="B72">
        <v>0.79600000000000004</v>
      </c>
    </row>
    <row r="73" spans="1:2" x14ac:dyDescent="0.25">
      <c r="A73" t="s">
        <v>302</v>
      </c>
      <c r="B73">
        <v>1.07</v>
      </c>
    </row>
    <row r="74" spans="1:2" x14ac:dyDescent="0.25">
      <c r="A74" t="s">
        <v>303</v>
      </c>
      <c r="B74">
        <v>1.02</v>
      </c>
    </row>
    <row r="75" spans="1:2" x14ac:dyDescent="0.25">
      <c r="A75" t="s">
        <v>304</v>
      </c>
      <c r="B75">
        <v>0.83499999999999996</v>
      </c>
    </row>
    <row r="76" spans="1:2" x14ac:dyDescent="0.25">
      <c r="A76" t="s">
        <v>305</v>
      </c>
      <c r="B76">
        <v>1.04</v>
      </c>
    </row>
    <row r="77" spans="1:2" x14ac:dyDescent="0.25">
      <c r="A77" t="s">
        <v>306</v>
      </c>
      <c r="B77">
        <v>0.995</v>
      </c>
    </row>
    <row r="78" spans="1:2" x14ac:dyDescent="0.25">
      <c r="A78" t="s">
        <v>307</v>
      </c>
      <c r="B78">
        <v>0.9</v>
      </c>
    </row>
    <row r="79" spans="1:2" x14ac:dyDescent="0.25">
      <c r="A79" t="s">
        <v>308</v>
      </c>
      <c r="B79">
        <v>0.995</v>
      </c>
    </row>
    <row r="80" spans="1:2" x14ac:dyDescent="0.25">
      <c r="A80" t="s">
        <v>309</v>
      </c>
      <c r="B80">
        <v>0.97</v>
      </c>
    </row>
    <row r="81" spans="1:2" x14ac:dyDescent="0.25">
      <c r="A81" t="s">
        <v>310</v>
      </c>
      <c r="B81">
        <v>1</v>
      </c>
    </row>
    <row r="82" spans="1:2" x14ac:dyDescent="0.25">
      <c r="A82" t="s">
        <v>311</v>
      </c>
      <c r="B82">
        <v>1</v>
      </c>
    </row>
    <row r="83" spans="1:2" x14ac:dyDescent="0.25">
      <c r="A83" t="s">
        <v>312</v>
      </c>
      <c r="B83">
        <v>1.1399999999999999</v>
      </c>
    </row>
    <row r="84" spans="1:2" x14ac:dyDescent="0.25">
      <c r="A84" t="s">
        <v>313</v>
      </c>
      <c r="B84">
        <v>1.1499999999999999</v>
      </c>
    </row>
    <row r="85" spans="1:2" x14ac:dyDescent="0.25">
      <c r="A85" t="s">
        <v>314</v>
      </c>
      <c r="B85">
        <v>1.3</v>
      </c>
    </row>
    <row r="86" spans="1:2" x14ac:dyDescent="0.25">
      <c r="A86" t="s">
        <v>315</v>
      </c>
      <c r="B86">
        <v>1.25</v>
      </c>
    </row>
    <row r="87" spans="1:2" x14ac:dyDescent="0.25">
      <c r="A87" t="s">
        <v>316</v>
      </c>
      <c r="B87">
        <v>1.2649999999999999</v>
      </c>
    </row>
    <row r="88" spans="1:2" x14ac:dyDescent="0.25">
      <c r="A88" t="s">
        <v>317</v>
      </c>
      <c r="B88">
        <v>0.91500000000000004</v>
      </c>
    </row>
    <row r="89" spans="1:2" x14ac:dyDescent="0.25">
      <c r="A89" t="s">
        <v>318</v>
      </c>
      <c r="B89">
        <v>0.96</v>
      </c>
    </row>
    <row r="90" spans="1:2" x14ac:dyDescent="0.25">
      <c r="A90" t="s">
        <v>319</v>
      </c>
      <c r="B90">
        <v>0.93500000000000005</v>
      </c>
    </row>
    <row r="91" spans="1:2" x14ac:dyDescent="0.25">
      <c r="A91" t="s">
        <v>320</v>
      </c>
      <c r="B91">
        <v>1.2</v>
      </c>
    </row>
    <row r="92" spans="1:2" x14ac:dyDescent="0.25">
      <c r="A92" t="s">
        <v>321</v>
      </c>
      <c r="B92">
        <v>1.405</v>
      </c>
    </row>
    <row r="93" spans="1:2" x14ac:dyDescent="0.25">
      <c r="A93" t="s">
        <v>322</v>
      </c>
      <c r="B93">
        <v>0.93500000000000005</v>
      </c>
    </row>
    <row r="94" spans="1:2" x14ac:dyDescent="0.25">
      <c r="A94" t="s">
        <v>323</v>
      </c>
      <c r="B94">
        <v>0.90300000000000002</v>
      </c>
    </row>
    <row r="95" spans="1:2" x14ac:dyDescent="0.25">
      <c r="A95" t="s">
        <v>324</v>
      </c>
      <c r="B95">
        <v>1.02</v>
      </c>
    </row>
    <row r="96" spans="1:2" x14ac:dyDescent="0.25">
      <c r="A96" t="s">
        <v>325</v>
      </c>
      <c r="B96">
        <v>1</v>
      </c>
    </row>
    <row r="97" spans="1:2" x14ac:dyDescent="0.25">
      <c r="A97" t="s">
        <v>326</v>
      </c>
      <c r="B97">
        <v>1.04</v>
      </c>
    </row>
    <row r="98" spans="1:2" x14ac:dyDescent="0.25">
      <c r="A98" t="s">
        <v>327</v>
      </c>
      <c r="B98">
        <v>0.89</v>
      </c>
    </row>
    <row r="99" spans="1:2" x14ac:dyDescent="0.25">
      <c r="A99" t="s">
        <v>328</v>
      </c>
      <c r="B99">
        <v>0.82</v>
      </c>
    </row>
    <row r="100" spans="1:2" x14ac:dyDescent="0.25">
      <c r="A100" t="s">
        <v>329</v>
      </c>
      <c r="B100">
        <v>0.97499999999999998</v>
      </c>
    </row>
    <row r="101" spans="1:2" x14ac:dyDescent="0.25">
      <c r="A101" t="s">
        <v>330</v>
      </c>
      <c r="B101">
        <v>0.96</v>
      </c>
    </row>
    <row r="102" spans="1:2" x14ac:dyDescent="0.25">
      <c r="A102" t="s">
        <v>331</v>
      </c>
      <c r="B102">
        <v>0.98</v>
      </c>
    </row>
    <row r="103" spans="1:2" x14ac:dyDescent="0.25">
      <c r="A103" t="s">
        <v>332</v>
      </c>
      <c r="B103">
        <v>0.87</v>
      </c>
    </row>
    <row r="104" spans="1:2" x14ac:dyDescent="0.25">
      <c r="A104" t="s">
        <v>333</v>
      </c>
      <c r="B104">
        <v>0.85499999999999998</v>
      </c>
    </row>
    <row r="105" spans="1:2" x14ac:dyDescent="0.25">
      <c r="A105" t="s">
        <v>334</v>
      </c>
      <c r="B105">
        <v>0.76</v>
      </c>
    </row>
    <row r="106" spans="1:2" x14ac:dyDescent="0.25">
      <c r="A106" t="s">
        <v>335</v>
      </c>
      <c r="B106">
        <v>0.93</v>
      </c>
    </row>
    <row r="107" spans="1:2" x14ac:dyDescent="0.25">
      <c r="A107" t="s">
        <v>336</v>
      </c>
      <c r="B107">
        <v>0.93</v>
      </c>
    </row>
    <row r="108" spans="1:2" x14ac:dyDescent="0.25">
      <c r="A108" t="s">
        <v>337</v>
      </c>
      <c r="B108">
        <v>1.07</v>
      </c>
    </row>
    <row r="109" spans="1:2" x14ac:dyDescent="0.25">
      <c r="A109" t="s">
        <v>338</v>
      </c>
      <c r="B109">
        <v>0.95</v>
      </c>
    </row>
    <row r="110" spans="1:2" x14ac:dyDescent="0.25">
      <c r="A110" t="s">
        <v>339</v>
      </c>
      <c r="B110">
        <v>1.1499999999999999</v>
      </c>
    </row>
    <row r="111" spans="1:2" x14ac:dyDescent="0.25">
      <c r="A111" t="s">
        <v>340</v>
      </c>
      <c r="B111">
        <v>0.98</v>
      </c>
    </row>
    <row r="112" spans="1:2" x14ac:dyDescent="0.25">
      <c r="A112" t="s">
        <v>341</v>
      </c>
      <c r="B112">
        <v>1.0149999999999999</v>
      </c>
    </row>
    <row r="113" spans="1:2" x14ac:dyDescent="0.25">
      <c r="A113" t="s">
        <v>342</v>
      </c>
      <c r="B113">
        <v>0.94499999999999995</v>
      </c>
    </row>
    <row r="114" spans="1:2" x14ac:dyDescent="0.25">
      <c r="A114" t="s">
        <v>343</v>
      </c>
      <c r="B114">
        <v>0.93500000000000005</v>
      </c>
    </row>
    <row r="115" spans="1:2" x14ac:dyDescent="0.25">
      <c r="A115" t="s">
        <v>344</v>
      </c>
      <c r="B115">
        <v>0.93</v>
      </c>
    </row>
    <row r="116" spans="1:2" x14ac:dyDescent="0.25">
      <c r="A116" t="s">
        <v>345</v>
      </c>
      <c r="B116">
        <v>0.84</v>
      </c>
    </row>
    <row r="117" spans="1:2" x14ac:dyDescent="0.25">
      <c r="A117" t="s">
        <v>346</v>
      </c>
      <c r="B117">
        <v>0.89</v>
      </c>
    </row>
    <row r="118" spans="1:2" x14ac:dyDescent="0.25">
      <c r="A118" t="s">
        <v>347</v>
      </c>
      <c r="B118">
        <v>1</v>
      </c>
    </row>
    <row r="119" spans="1:2" x14ac:dyDescent="0.25">
      <c r="A119" t="s">
        <v>348</v>
      </c>
      <c r="B119">
        <v>0.89</v>
      </c>
    </row>
    <row r="120" spans="1:2" x14ac:dyDescent="0.25">
      <c r="A120" t="s">
        <v>349</v>
      </c>
      <c r="B120">
        <v>0.95</v>
      </c>
    </row>
    <row r="121" spans="1:2" x14ac:dyDescent="0.25">
      <c r="A121" t="s">
        <v>350</v>
      </c>
      <c r="B121">
        <v>1.0149999999999999</v>
      </c>
    </row>
    <row r="122" spans="1:2" x14ac:dyDescent="0.25">
      <c r="A122" t="s">
        <v>351</v>
      </c>
      <c r="B122">
        <v>1.08</v>
      </c>
    </row>
    <row r="123" spans="1:2" x14ac:dyDescent="0.25">
      <c r="A123" t="s">
        <v>352</v>
      </c>
      <c r="B123">
        <v>1.1000000000000001</v>
      </c>
    </row>
    <row r="124" spans="1:2" x14ac:dyDescent="0.25">
      <c r="A124" t="s">
        <v>353</v>
      </c>
      <c r="B124">
        <v>0.72</v>
      </c>
    </row>
    <row r="125" spans="1:2" x14ac:dyDescent="0.25">
      <c r="A125" t="s">
        <v>354</v>
      </c>
      <c r="B125">
        <v>1.0900000000000001</v>
      </c>
    </row>
    <row r="126" spans="1:2" x14ac:dyDescent="0.25">
      <c r="A126" t="s">
        <v>355</v>
      </c>
      <c r="B126">
        <v>1.07</v>
      </c>
    </row>
    <row r="127" spans="1:2" x14ac:dyDescent="0.25">
      <c r="A127" t="s">
        <v>356</v>
      </c>
      <c r="B127">
        <v>1.1000000000000001</v>
      </c>
    </row>
    <row r="128" spans="1:2" x14ac:dyDescent="0.25">
      <c r="A128" t="s">
        <v>357</v>
      </c>
      <c r="B128">
        <v>1.01</v>
      </c>
    </row>
    <row r="129" spans="1:2" x14ac:dyDescent="0.25">
      <c r="A129" t="s">
        <v>358</v>
      </c>
      <c r="B129">
        <v>1.05</v>
      </c>
    </row>
    <row r="130" spans="1:2" x14ac:dyDescent="0.25">
      <c r="A130" t="s">
        <v>359</v>
      </c>
      <c r="B130">
        <v>0.98</v>
      </c>
    </row>
    <row r="131" spans="1:2" x14ac:dyDescent="0.25">
      <c r="A131" t="s">
        <v>360</v>
      </c>
      <c r="B131">
        <v>0.98499999999999999</v>
      </c>
    </row>
    <row r="132" spans="1:2" x14ac:dyDescent="0.25">
      <c r="A132" t="s">
        <v>361</v>
      </c>
      <c r="B132">
        <v>1.32</v>
      </c>
    </row>
    <row r="133" spans="1:2" x14ac:dyDescent="0.25">
      <c r="A133" t="s">
        <v>362</v>
      </c>
      <c r="B133">
        <v>1.21</v>
      </c>
    </row>
    <row r="134" spans="1:2" x14ac:dyDescent="0.25">
      <c r="A134" t="s">
        <v>363</v>
      </c>
      <c r="B134">
        <v>0.82</v>
      </c>
    </row>
    <row r="135" spans="1:2" x14ac:dyDescent="0.25">
      <c r="A135" t="s">
        <v>364</v>
      </c>
      <c r="B135">
        <v>0.85</v>
      </c>
    </row>
    <row r="136" spans="1:2" x14ac:dyDescent="0.25">
      <c r="A136" t="s">
        <v>365</v>
      </c>
      <c r="B136">
        <v>0.86499999999999999</v>
      </c>
    </row>
    <row r="137" spans="1:2" x14ac:dyDescent="0.25">
      <c r="A137" t="s">
        <v>366</v>
      </c>
      <c r="B137">
        <v>0.98499999999999999</v>
      </c>
    </row>
    <row r="138" spans="1:2" x14ac:dyDescent="0.25">
      <c r="A138" t="s">
        <v>367</v>
      </c>
      <c r="B138">
        <v>1.01</v>
      </c>
    </row>
    <row r="139" spans="1:2" x14ac:dyDescent="0.25">
      <c r="A139" t="s">
        <v>368</v>
      </c>
      <c r="B139">
        <v>0.99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AAED1-D863-4349-80D1-E4194CEFBD61}">
  <sheetPr codeName="Sheet2"/>
  <dimension ref="B2:J18"/>
  <sheetViews>
    <sheetView topLeftCell="B1" workbookViewId="0">
      <selection activeCell="D4" sqref="D4"/>
    </sheetView>
  </sheetViews>
  <sheetFormatPr defaultRowHeight="15" x14ac:dyDescent="0.25"/>
  <cols>
    <col min="3" max="3" width="14.28515625" bestFit="1" customWidth="1"/>
    <col min="4" max="4" width="17.28515625" bestFit="1" customWidth="1"/>
    <col min="5" max="5" width="12.28515625" bestFit="1" customWidth="1"/>
    <col min="6" max="6" width="16.7109375" bestFit="1" customWidth="1"/>
    <col min="7" max="7" width="16" bestFit="1" customWidth="1"/>
    <col min="8" max="8" width="31.42578125" bestFit="1" customWidth="1"/>
    <col min="9" max="9" width="11.140625" bestFit="1" customWidth="1"/>
    <col min="14" max="14" width="17.28515625" bestFit="1" customWidth="1"/>
    <col min="15" max="15" width="11.7109375" bestFit="1" customWidth="1"/>
  </cols>
  <sheetData>
    <row r="2" spans="2:10" x14ac:dyDescent="0.25">
      <c r="B2" s="104" t="s">
        <v>401</v>
      </c>
      <c r="C2" s="104"/>
      <c r="D2" s="4">
        <f>VLOOKUP(Dashboard!B22,'Compensation Numbers'!B1:D183,2,FALSE)</f>
        <v>0</v>
      </c>
    </row>
    <row r="3" spans="2:10" x14ac:dyDescent="0.25">
      <c r="B3" s="104" t="s">
        <v>402</v>
      </c>
      <c r="C3" s="104"/>
      <c r="D3" s="4">
        <f>VLOOKUP(Dashboard!E22,'Compensation Numbers'!B1:D183,3,FALSE)</f>
        <v>0</v>
      </c>
    </row>
    <row r="4" spans="2:10" x14ac:dyDescent="0.25">
      <c r="B4" s="104" t="s">
        <v>423</v>
      </c>
      <c r="C4" s="104"/>
      <c r="D4">
        <f>VLOOKUP(Dashboard!F27,'Location Variance'!A1:B139,2,FALSE)</f>
        <v>1</v>
      </c>
    </row>
    <row r="5" spans="2:10" x14ac:dyDescent="0.25">
      <c r="B5" s="104" t="s">
        <v>424</v>
      </c>
      <c r="C5" s="104"/>
      <c r="D5">
        <f>VLOOKUP(Dashboard!F28,'Location Variance'!A1:B139,2,FALSE)</f>
        <v>1</v>
      </c>
    </row>
    <row r="6" spans="2:10" x14ac:dyDescent="0.25">
      <c r="B6" s="104" t="s">
        <v>403</v>
      </c>
      <c r="C6" s="104"/>
      <c r="D6" s="4">
        <f>(D2*D4)+(D3*D5)</f>
        <v>0</v>
      </c>
    </row>
    <row r="8" spans="2:10" x14ac:dyDescent="0.25">
      <c r="B8" s="104" t="s">
        <v>404</v>
      </c>
      <c r="C8" s="104"/>
      <c r="D8">
        <f>('Income Distribution'!M4*POWER(Calculations!D6/100,4))+('Income Distribution'!M5*POWER(Calculations!D6/100,3))+('Income Distribution'!M6*POWER(Calculations!D6/100,2))+('Income Distribution'!M7*Calculations!D6/100)+('Income Distribution'!M8)</f>
        <v>-6.0909334299999998</v>
      </c>
    </row>
    <row r="9" spans="2:10" x14ac:dyDescent="0.25">
      <c r="B9" s="104" t="s">
        <v>431</v>
      </c>
      <c r="C9" s="104"/>
      <c r="D9">
        <f>IF(D8&lt;0,0,ROUND(D8,0))</f>
        <v>0</v>
      </c>
    </row>
    <row r="10" spans="2:10" x14ac:dyDescent="0.25">
      <c r="B10" s="104" t="s">
        <v>432</v>
      </c>
      <c r="C10" s="104"/>
      <c r="D10">
        <f>IF(D9&gt;100,100,D9)</f>
        <v>0</v>
      </c>
    </row>
    <row r="11" spans="2:10" x14ac:dyDescent="0.25">
      <c r="B11" s="25"/>
      <c r="C11" s="25"/>
    </row>
    <row r="12" spans="2:10" x14ac:dyDescent="0.25">
      <c r="C12" s="4"/>
      <c r="D12" t="s">
        <v>369</v>
      </c>
      <c r="E12" t="s">
        <v>370</v>
      </c>
      <c r="F12" t="s">
        <v>371</v>
      </c>
      <c r="G12" t="s">
        <v>372</v>
      </c>
      <c r="H12" t="s">
        <v>380</v>
      </c>
      <c r="I12" t="s">
        <v>374</v>
      </c>
      <c r="J12" t="s">
        <v>414</v>
      </c>
    </row>
    <row r="13" spans="2:10" x14ac:dyDescent="0.25">
      <c r="B13" s="104" t="s">
        <v>427</v>
      </c>
      <c r="C13" s="104"/>
      <c r="D13">
        <f>IFERROR(VLOOKUP(Dashboard!$F$7,'Age Multiplier'!$A$12:$G$99,2,FALSE),1)</f>
        <v>1</v>
      </c>
      <c r="E13">
        <f>IFERROR(VLOOKUP(Dashboard!$F$7,'Age Multiplier'!$A$12:$G$99,3,FALSE),1)</f>
        <v>1</v>
      </c>
      <c r="F13">
        <f>IFERROR(VLOOKUP(Dashboard!$F$7,'Age Multiplier'!$A$12:$G$99,4,FALSE),1)</f>
        <v>1</v>
      </c>
      <c r="G13">
        <f>IFERROR(VLOOKUP(Dashboard!$F$7,'Age Multiplier'!$A$12:$G$99,5,FALSE),1)</f>
        <v>1</v>
      </c>
      <c r="H13">
        <f>IFERROR(VLOOKUP(Dashboard!$F$7,'Age Multiplier'!$A$12:$G$99,6,FALSE),1)</f>
        <v>1</v>
      </c>
      <c r="I13">
        <f>IFERROR(VLOOKUP(Dashboard!$F$7,'Age Multiplier'!$A$12:$G$99,7,FALSE),1)</f>
        <v>1</v>
      </c>
    </row>
    <row r="14" spans="2:10" x14ac:dyDescent="0.25">
      <c r="B14" s="104" t="s">
        <v>405</v>
      </c>
      <c r="C14" s="104"/>
      <c r="D14">
        <f>VLOOKUP($D$10,'Asset Distribution'!$A$2:$G$102,2,FALSE)*D13</f>
        <v>0.99999999000000006</v>
      </c>
      <c r="E14">
        <f>VLOOKUP($D$10,'Asset Distribution'!$A$2:$G$102,3,FALSE)*E13</f>
        <v>0.09</v>
      </c>
      <c r="F14">
        <f>VLOOKUP($D$10,'Asset Distribution'!$A$2:$G$102,4,FALSE)*F13</f>
        <v>0.12</v>
      </c>
      <c r="G14">
        <f>VLOOKUP($D$10,'Asset Distribution'!$A$2:$G$102,5,FALSE)*G13</f>
        <v>0.03</v>
      </c>
      <c r="H14">
        <f>VLOOKUP($D$10,'Asset Distribution'!$A$2:$G$102,6,FALSE)*H13</f>
        <v>0.05</v>
      </c>
      <c r="I14">
        <f>VLOOKUP($D$10,'Asset Distribution'!$A$2:$G$102,7,FALSE)*I13</f>
        <v>1.2E-2</v>
      </c>
      <c r="J14">
        <v>1</v>
      </c>
    </row>
    <row r="15" spans="2:10" x14ac:dyDescent="0.25">
      <c r="B15" s="104" t="s">
        <v>406</v>
      </c>
      <c r="C15" s="104"/>
      <c r="D15" s="4">
        <f>Dashboard!C6</f>
        <v>0</v>
      </c>
      <c r="E15" s="4">
        <f>Dashboard!C15</f>
        <v>0</v>
      </c>
      <c r="G15" s="4">
        <f>SUM(Dashboard!C9:C10)</f>
        <v>0</v>
      </c>
      <c r="H15" s="4">
        <f>(Dashboard!C13*Dashboard!C12)+Dashboard!C7</f>
        <v>0</v>
      </c>
      <c r="I15" s="4">
        <f>Dashboard!C17</f>
        <v>0</v>
      </c>
      <c r="J15" s="4">
        <f>Dashboard!C16</f>
        <v>0</v>
      </c>
    </row>
    <row r="16" spans="2:10" x14ac:dyDescent="0.25">
      <c r="B16" s="104" t="s">
        <v>422</v>
      </c>
      <c r="C16" s="104"/>
      <c r="D16" s="4">
        <f>D15/D14</f>
        <v>0</v>
      </c>
      <c r="E16" s="4">
        <f t="shared" ref="E16:J16" si="0">E15/E14</f>
        <v>0</v>
      </c>
      <c r="F16" s="4">
        <f t="shared" si="0"/>
        <v>0</v>
      </c>
      <c r="G16" s="4">
        <f t="shared" si="0"/>
        <v>0</v>
      </c>
      <c r="H16" s="4">
        <f t="shared" si="0"/>
        <v>0</v>
      </c>
      <c r="I16" s="4">
        <f t="shared" si="0"/>
        <v>0</v>
      </c>
      <c r="J16" s="4">
        <f t="shared" si="0"/>
        <v>0</v>
      </c>
    </row>
    <row r="17" spans="2:10" x14ac:dyDescent="0.25">
      <c r="B17" s="104" t="s">
        <v>429</v>
      </c>
      <c r="C17" s="104"/>
      <c r="D17">
        <v>0.01</v>
      </c>
    </row>
    <row r="18" spans="2:10" x14ac:dyDescent="0.25">
      <c r="B18" s="104" t="s">
        <v>428</v>
      </c>
      <c r="C18" s="104"/>
      <c r="D18" s="4">
        <f>D16*$D$17</f>
        <v>0</v>
      </c>
      <c r="E18" s="4">
        <f t="shared" ref="E18:J18" si="1">E16*$D$17</f>
        <v>0</v>
      </c>
      <c r="F18" s="4">
        <f t="shared" si="1"/>
        <v>0</v>
      </c>
      <c r="G18" s="4">
        <f t="shared" si="1"/>
        <v>0</v>
      </c>
      <c r="H18" s="4">
        <f t="shared" si="1"/>
        <v>0</v>
      </c>
      <c r="I18" s="4">
        <f t="shared" si="1"/>
        <v>0</v>
      </c>
      <c r="J18" s="4">
        <f t="shared" si="1"/>
        <v>0</v>
      </c>
    </row>
  </sheetData>
  <mergeCells count="14">
    <mergeCell ref="B2:C2"/>
    <mergeCell ref="B3:C3"/>
    <mergeCell ref="B6:C6"/>
    <mergeCell ref="B18:C18"/>
    <mergeCell ref="B17:C17"/>
    <mergeCell ref="B10:C10"/>
    <mergeCell ref="B15:C15"/>
    <mergeCell ref="B16:C16"/>
    <mergeCell ref="B13:C13"/>
    <mergeCell ref="B8:C8"/>
    <mergeCell ref="B9:C9"/>
    <mergeCell ref="B14:C14"/>
    <mergeCell ref="B5:C5"/>
    <mergeCell ref="B4:C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CD3D4-AC54-4890-A4EB-3CDC729BC8B6}">
  <sheetPr codeName="Sheet6"/>
  <dimension ref="A1:O43"/>
  <sheetViews>
    <sheetView workbookViewId="0">
      <selection activeCell="N11" sqref="N11"/>
    </sheetView>
  </sheetViews>
  <sheetFormatPr defaultRowHeight="15" x14ac:dyDescent="0.25"/>
  <cols>
    <col min="1" max="2" width="11.140625" bestFit="1" customWidth="1"/>
    <col min="3" max="3" width="11.140625" customWidth="1"/>
    <col min="12" max="12" width="12.28515625" customWidth="1"/>
    <col min="13" max="13" width="14.42578125" customWidth="1"/>
    <col min="14" max="15" width="12" bestFit="1" customWidth="1"/>
  </cols>
  <sheetData>
    <row r="1" spans="1:15" x14ac:dyDescent="0.25">
      <c r="A1" t="s">
        <v>388</v>
      </c>
      <c r="B1" t="s">
        <v>389</v>
      </c>
      <c r="C1" t="s">
        <v>394</v>
      </c>
      <c r="D1" t="s">
        <v>390</v>
      </c>
      <c r="E1" t="s">
        <v>387</v>
      </c>
      <c r="F1" t="s">
        <v>375</v>
      </c>
      <c r="G1" t="s">
        <v>393</v>
      </c>
      <c r="H1" t="s">
        <v>392</v>
      </c>
      <c r="I1" t="s">
        <v>391</v>
      </c>
    </row>
    <row r="2" spans="1:15" x14ac:dyDescent="0.25">
      <c r="A2" s="8"/>
      <c r="B2" s="8">
        <v>5000</v>
      </c>
      <c r="C2" s="8">
        <v>2500</v>
      </c>
      <c r="D2">
        <v>4571</v>
      </c>
      <c r="E2" s="30">
        <v>3.6700000000000003E-2</v>
      </c>
      <c r="F2">
        <v>0</v>
      </c>
      <c r="G2" s="24">
        <v>1080</v>
      </c>
      <c r="H2">
        <v>0.2</v>
      </c>
      <c r="I2">
        <v>1.91</v>
      </c>
    </row>
    <row r="3" spans="1:15" x14ac:dyDescent="0.25">
      <c r="A3" s="8">
        <v>5000</v>
      </c>
      <c r="B3" s="8">
        <v>9999</v>
      </c>
      <c r="C3" s="8">
        <v>7499.5</v>
      </c>
      <c r="D3">
        <v>4320</v>
      </c>
      <c r="E3" s="30">
        <v>3.4700000000000002E-2</v>
      </c>
      <c r="F3">
        <v>3.67</v>
      </c>
      <c r="G3" s="24">
        <v>7936</v>
      </c>
      <c r="H3">
        <v>0.34</v>
      </c>
      <c r="I3">
        <v>1.78</v>
      </c>
      <c r="L3" s="101" t="s">
        <v>396</v>
      </c>
      <c r="M3" s="103"/>
    </row>
    <row r="4" spans="1:15" x14ac:dyDescent="0.25">
      <c r="A4" s="8">
        <v>10000</v>
      </c>
      <c r="B4" s="8">
        <v>14999</v>
      </c>
      <c r="C4" s="8">
        <v>12499.5</v>
      </c>
      <c r="D4">
        <v>6766</v>
      </c>
      <c r="E4" s="30">
        <v>5.4300000000000001E-2</v>
      </c>
      <c r="F4">
        <v>7.14</v>
      </c>
      <c r="G4" s="24">
        <v>12317</v>
      </c>
      <c r="H4">
        <v>0.39</v>
      </c>
      <c r="I4">
        <v>1.71</v>
      </c>
      <c r="L4" s="7" t="s">
        <v>395</v>
      </c>
      <c r="M4" s="41">
        <v>4.9912552399999999E-13</v>
      </c>
      <c r="N4">
        <f>POWER(M9,4)</f>
        <v>0</v>
      </c>
      <c r="O4">
        <f>M4*N4</f>
        <v>0</v>
      </c>
    </row>
    <row r="5" spans="1:15" x14ac:dyDescent="0.25">
      <c r="A5" s="8">
        <v>15000</v>
      </c>
      <c r="B5" s="8">
        <v>19999</v>
      </c>
      <c r="C5" s="8">
        <v>17499.5</v>
      </c>
      <c r="D5">
        <v>6779</v>
      </c>
      <c r="E5" s="30">
        <v>5.4399999999999997E-2</v>
      </c>
      <c r="F5">
        <v>12.57</v>
      </c>
      <c r="G5" s="24">
        <v>17338</v>
      </c>
      <c r="H5">
        <v>0.54</v>
      </c>
      <c r="I5">
        <v>1.9</v>
      </c>
      <c r="L5" s="3" t="s">
        <v>379</v>
      </c>
      <c r="M5" s="42">
        <v>5.3423623399999998E-9</v>
      </c>
      <c r="N5">
        <f>POWER(M9,3)</f>
        <v>0</v>
      </c>
      <c r="O5">
        <f t="shared" ref="O5:O7" si="0">M5*N5</f>
        <v>0</v>
      </c>
    </row>
    <row r="6" spans="1:15" x14ac:dyDescent="0.25">
      <c r="A6" s="8">
        <v>20000</v>
      </c>
      <c r="B6" s="8">
        <v>24999</v>
      </c>
      <c r="C6" s="8">
        <v>22499.5</v>
      </c>
      <c r="D6">
        <v>6865</v>
      </c>
      <c r="E6" s="30">
        <v>5.5100000000000003E-2</v>
      </c>
      <c r="F6">
        <v>18.010000000000002</v>
      </c>
      <c r="G6" s="24">
        <v>22162</v>
      </c>
      <c r="H6">
        <v>0.73</v>
      </c>
      <c r="I6">
        <v>2.0699999999999998</v>
      </c>
      <c r="L6" s="3" t="s">
        <v>378</v>
      </c>
      <c r="M6" s="42">
        <v>-5.0192424400000003E-5</v>
      </c>
      <c r="N6">
        <f>POWER(M9,2)</f>
        <v>0</v>
      </c>
      <c r="O6">
        <f t="shared" si="0"/>
        <v>0</v>
      </c>
    </row>
    <row r="7" spans="1:15" x14ac:dyDescent="0.25">
      <c r="A7" s="8">
        <v>25000</v>
      </c>
      <c r="B7" s="8">
        <v>29999</v>
      </c>
      <c r="C7" s="8">
        <v>27499.5</v>
      </c>
      <c r="D7">
        <v>6363</v>
      </c>
      <c r="E7" s="30">
        <v>5.11E-2</v>
      </c>
      <c r="F7">
        <v>23.52</v>
      </c>
      <c r="G7" s="24">
        <v>27101</v>
      </c>
      <c r="H7">
        <v>0.82</v>
      </c>
      <c r="I7">
        <v>2.19</v>
      </c>
      <c r="L7" s="3" t="s">
        <v>377</v>
      </c>
      <c r="M7" s="42">
        <v>0.124802763</v>
      </c>
      <c r="N7">
        <f>M9</f>
        <v>0</v>
      </c>
      <c r="O7">
        <f t="shared" si="0"/>
        <v>0</v>
      </c>
    </row>
    <row r="8" spans="1:15" x14ac:dyDescent="0.25">
      <c r="A8" s="8">
        <v>30000</v>
      </c>
      <c r="B8" s="8">
        <v>34999</v>
      </c>
      <c r="C8" s="8">
        <v>32499.5</v>
      </c>
      <c r="D8">
        <v>6232</v>
      </c>
      <c r="E8" s="30">
        <v>0.05</v>
      </c>
      <c r="F8">
        <v>28.63</v>
      </c>
      <c r="G8" s="24">
        <v>32058</v>
      </c>
      <c r="H8">
        <v>0.94</v>
      </c>
      <c r="I8">
        <v>2.27</v>
      </c>
      <c r="L8" s="2" t="s">
        <v>376</v>
      </c>
      <c r="M8" s="43">
        <v>-6.0909334299999998</v>
      </c>
      <c r="O8">
        <f>M8</f>
        <v>-6.0909334299999998</v>
      </c>
    </row>
    <row r="9" spans="1:15" x14ac:dyDescent="0.25">
      <c r="A9" s="8">
        <v>35000</v>
      </c>
      <c r="B9" s="8">
        <v>39999</v>
      </c>
      <c r="C9" s="8">
        <v>37499.5</v>
      </c>
      <c r="D9">
        <v>5857</v>
      </c>
      <c r="E9" s="30">
        <v>4.7E-2</v>
      </c>
      <c r="F9">
        <v>33.630000000000003</v>
      </c>
      <c r="G9" s="24">
        <v>37061</v>
      </c>
      <c r="H9">
        <v>1.04</v>
      </c>
      <c r="I9">
        <v>2.31</v>
      </c>
      <c r="L9" s="35" t="s">
        <v>430</v>
      </c>
      <c r="M9" s="40"/>
      <c r="O9">
        <f>SUM(O4:O8)</f>
        <v>-6.0909334299999998</v>
      </c>
    </row>
    <row r="10" spans="1:15" x14ac:dyDescent="0.25">
      <c r="A10" s="8">
        <v>40000</v>
      </c>
      <c r="B10" s="8">
        <v>44999</v>
      </c>
      <c r="C10" s="8">
        <v>42499.5</v>
      </c>
      <c r="D10">
        <v>5430</v>
      </c>
      <c r="E10" s="30">
        <v>4.36E-2</v>
      </c>
      <c r="F10">
        <v>38.33</v>
      </c>
      <c r="G10" s="24">
        <v>41979</v>
      </c>
      <c r="H10">
        <v>1.1499999999999999</v>
      </c>
      <c r="I10">
        <v>2.4</v>
      </c>
    </row>
    <row r="11" spans="1:15" x14ac:dyDescent="0.25">
      <c r="A11" s="8">
        <v>45000</v>
      </c>
      <c r="B11" s="8">
        <v>49999</v>
      </c>
      <c r="C11" s="8">
        <v>47499.5</v>
      </c>
      <c r="D11">
        <v>5060</v>
      </c>
      <c r="E11" s="30">
        <v>4.0599999999999997E-2</v>
      </c>
      <c r="F11">
        <v>42.69</v>
      </c>
      <c r="G11" s="24">
        <v>47207</v>
      </c>
      <c r="H11">
        <v>1.24</v>
      </c>
      <c r="I11">
        <v>2.52</v>
      </c>
    </row>
    <row r="12" spans="1:15" x14ac:dyDescent="0.25">
      <c r="A12" s="8">
        <v>50000</v>
      </c>
      <c r="B12" s="8">
        <v>54999</v>
      </c>
      <c r="C12" s="8">
        <v>52499.5</v>
      </c>
      <c r="D12">
        <v>5084</v>
      </c>
      <c r="E12" s="30">
        <v>4.0800000000000003E-2</v>
      </c>
      <c r="F12">
        <v>46.75</v>
      </c>
      <c r="G12" s="24">
        <v>51986</v>
      </c>
      <c r="H12">
        <v>1.32</v>
      </c>
      <c r="I12">
        <v>2.54</v>
      </c>
    </row>
    <row r="13" spans="1:15" x14ac:dyDescent="0.25">
      <c r="A13" s="8">
        <v>55000</v>
      </c>
      <c r="B13" s="8">
        <v>59999</v>
      </c>
      <c r="C13" s="8">
        <v>57499.5</v>
      </c>
      <c r="D13">
        <v>4220</v>
      </c>
      <c r="E13" s="30">
        <v>3.39E-2</v>
      </c>
      <c r="F13">
        <v>50.83</v>
      </c>
      <c r="G13" s="24">
        <v>57065</v>
      </c>
      <c r="H13">
        <v>1.41</v>
      </c>
      <c r="I13">
        <v>2.56</v>
      </c>
    </row>
    <row r="14" spans="1:15" x14ac:dyDescent="0.25">
      <c r="A14" s="8">
        <v>60000</v>
      </c>
      <c r="B14" s="8">
        <v>64999</v>
      </c>
      <c r="C14" s="8">
        <v>62499.5</v>
      </c>
      <c r="D14">
        <v>4477</v>
      </c>
      <c r="E14" s="30">
        <v>3.5900000000000001E-2</v>
      </c>
      <c r="F14">
        <v>54.22</v>
      </c>
      <c r="G14" s="24">
        <v>62016</v>
      </c>
      <c r="H14">
        <v>1.46</v>
      </c>
      <c r="I14">
        <v>2.64</v>
      </c>
    </row>
    <row r="15" spans="1:15" x14ac:dyDescent="0.25">
      <c r="A15" s="8">
        <v>65000</v>
      </c>
      <c r="B15" s="8">
        <v>69999</v>
      </c>
      <c r="C15" s="8">
        <v>67499.5</v>
      </c>
      <c r="D15">
        <v>3709</v>
      </c>
      <c r="E15" s="30">
        <v>2.98E-2</v>
      </c>
      <c r="F15">
        <v>57.81</v>
      </c>
      <c r="G15" s="24">
        <v>67081</v>
      </c>
      <c r="H15">
        <v>1.51</v>
      </c>
      <c r="I15">
        <v>2.67</v>
      </c>
    </row>
    <row r="16" spans="1:15" x14ac:dyDescent="0.25">
      <c r="A16" s="8">
        <v>70000</v>
      </c>
      <c r="B16" s="8">
        <v>74999</v>
      </c>
      <c r="C16" s="8">
        <v>72499.5</v>
      </c>
      <c r="D16">
        <v>3737</v>
      </c>
      <c r="E16" s="30">
        <v>0.03</v>
      </c>
      <c r="F16">
        <v>60.79</v>
      </c>
      <c r="G16" s="24">
        <v>72050</v>
      </c>
      <c r="H16">
        <v>1.57</v>
      </c>
      <c r="I16">
        <v>2.73</v>
      </c>
    </row>
    <row r="17" spans="1:9" x14ac:dyDescent="0.25">
      <c r="A17" s="8">
        <v>75000</v>
      </c>
      <c r="B17" s="8">
        <v>79999</v>
      </c>
      <c r="C17" s="8">
        <v>77499.5</v>
      </c>
      <c r="D17">
        <v>3484</v>
      </c>
      <c r="E17" s="30">
        <v>2.8000000000000001E-2</v>
      </c>
      <c r="F17">
        <v>63.79</v>
      </c>
      <c r="G17" s="24">
        <v>77023</v>
      </c>
      <c r="H17">
        <v>1.6</v>
      </c>
      <c r="I17">
        <v>2.79</v>
      </c>
    </row>
    <row r="18" spans="1:9" x14ac:dyDescent="0.25">
      <c r="A18" s="8">
        <v>80000</v>
      </c>
      <c r="B18" s="8">
        <v>84999</v>
      </c>
      <c r="C18" s="8">
        <v>82499.5</v>
      </c>
      <c r="D18">
        <v>3142</v>
      </c>
      <c r="E18" s="30">
        <v>2.52E-2</v>
      </c>
      <c r="F18">
        <v>66.58</v>
      </c>
      <c r="G18" s="24">
        <v>81966</v>
      </c>
      <c r="H18">
        <v>1.63</v>
      </c>
      <c r="I18">
        <v>2.79</v>
      </c>
    </row>
    <row r="19" spans="1:9" x14ac:dyDescent="0.25">
      <c r="A19" s="8">
        <v>85000</v>
      </c>
      <c r="B19" s="8">
        <v>89999</v>
      </c>
      <c r="C19" s="8">
        <v>87499.5</v>
      </c>
      <c r="D19">
        <v>2750</v>
      </c>
      <c r="E19" s="30">
        <v>2.2100000000000002E-2</v>
      </c>
      <c r="F19">
        <v>69.11</v>
      </c>
      <c r="G19" s="24">
        <v>87101</v>
      </c>
      <c r="H19">
        <v>1.77</v>
      </c>
      <c r="I19">
        <v>2.9</v>
      </c>
    </row>
    <row r="20" spans="1:9" x14ac:dyDescent="0.25">
      <c r="A20" s="8">
        <v>90000</v>
      </c>
      <c r="B20" s="8">
        <v>94999</v>
      </c>
      <c r="C20" s="8">
        <v>92499.5</v>
      </c>
      <c r="D20">
        <v>2665</v>
      </c>
      <c r="E20" s="30">
        <v>2.1399999999999999E-2</v>
      </c>
      <c r="F20">
        <v>71.31</v>
      </c>
      <c r="G20" s="24">
        <v>92033</v>
      </c>
      <c r="H20">
        <v>1.82</v>
      </c>
      <c r="I20">
        <v>2.96</v>
      </c>
    </row>
    <row r="21" spans="1:9" x14ac:dyDescent="0.25">
      <c r="A21" s="8">
        <v>95000</v>
      </c>
      <c r="B21" s="8">
        <v>99999</v>
      </c>
      <c r="C21" s="8">
        <v>97499.5</v>
      </c>
      <c r="D21">
        <v>2339</v>
      </c>
      <c r="E21" s="30">
        <v>1.8800000000000001E-2</v>
      </c>
      <c r="F21">
        <v>73.45</v>
      </c>
      <c r="G21" s="24">
        <v>97161</v>
      </c>
      <c r="H21">
        <v>1.81</v>
      </c>
      <c r="I21">
        <v>2.97</v>
      </c>
    </row>
    <row r="22" spans="1:9" x14ac:dyDescent="0.25">
      <c r="A22" s="8">
        <v>100000</v>
      </c>
      <c r="B22" s="8">
        <v>104999</v>
      </c>
      <c r="C22" s="8">
        <v>102499.5</v>
      </c>
      <c r="D22">
        <v>2679</v>
      </c>
      <c r="E22" s="30">
        <v>2.1499999999999998E-2</v>
      </c>
      <c r="F22">
        <v>75.33</v>
      </c>
      <c r="G22" s="24">
        <v>101921</v>
      </c>
      <c r="H22">
        <v>1.79</v>
      </c>
      <c r="I22">
        <v>3.01</v>
      </c>
    </row>
    <row r="23" spans="1:9" x14ac:dyDescent="0.25">
      <c r="A23" s="8">
        <v>105000</v>
      </c>
      <c r="B23" s="8">
        <v>109999</v>
      </c>
      <c r="C23" s="8">
        <v>107499.5</v>
      </c>
      <c r="D23">
        <v>2070</v>
      </c>
      <c r="E23" s="30">
        <v>1.66E-2</v>
      </c>
      <c r="F23">
        <v>77.48</v>
      </c>
      <c r="G23" s="24">
        <v>107187</v>
      </c>
      <c r="H23">
        <v>1.88</v>
      </c>
      <c r="I23">
        <v>3.01</v>
      </c>
    </row>
    <row r="24" spans="1:9" x14ac:dyDescent="0.25">
      <c r="A24" s="8">
        <v>110000</v>
      </c>
      <c r="B24" s="8">
        <v>114999</v>
      </c>
      <c r="C24" s="8">
        <v>112499.5</v>
      </c>
      <c r="D24">
        <v>1922</v>
      </c>
      <c r="E24" s="30">
        <v>1.54E-2</v>
      </c>
      <c r="F24">
        <v>79.14</v>
      </c>
      <c r="G24" s="24">
        <v>112069</v>
      </c>
      <c r="H24">
        <v>1.93</v>
      </c>
      <c r="I24">
        <v>3.12</v>
      </c>
    </row>
    <row r="25" spans="1:9" x14ac:dyDescent="0.25">
      <c r="A25" s="8">
        <v>115000</v>
      </c>
      <c r="B25" s="8">
        <v>119999</v>
      </c>
      <c r="C25" s="8">
        <v>117499.5</v>
      </c>
      <c r="D25">
        <v>1623</v>
      </c>
      <c r="E25" s="30">
        <v>1.2999999999999999E-2</v>
      </c>
      <c r="F25">
        <v>80.680000000000007</v>
      </c>
      <c r="G25" s="24">
        <v>117133</v>
      </c>
      <c r="H25">
        <v>1.98</v>
      </c>
      <c r="I25">
        <v>3.14</v>
      </c>
    </row>
    <row r="26" spans="1:9" x14ac:dyDescent="0.25">
      <c r="A26" s="8">
        <v>120000</v>
      </c>
      <c r="B26" s="8">
        <v>124999</v>
      </c>
      <c r="C26" s="8">
        <v>122499.5</v>
      </c>
      <c r="D26">
        <v>1863</v>
      </c>
      <c r="E26" s="30">
        <v>1.4999999999999999E-2</v>
      </c>
      <c r="F26">
        <v>81.99</v>
      </c>
      <c r="G26" s="24">
        <v>122127</v>
      </c>
      <c r="H26">
        <v>1.93</v>
      </c>
      <c r="I26">
        <v>3.09</v>
      </c>
    </row>
    <row r="27" spans="1:9" x14ac:dyDescent="0.25">
      <c r="A27" s="8">
        <v>125000</v>
      </c>
      <c r="B27" s="8">
        <v>129999</v>
      </c>
      <c r="C27" s="8">
        <v>127499.5</v>
      </c>
      <c r="D27">
        <v>1452</v>
      </c>
      <c r="E27" s="30">
        <v>1.17E-2</v>
      </c>
      <c r="F27">
        <v>83.48</v>
      </c>
      <c r="G27" s="24">
        <v>127166</v>
      </c>
      <c r="H27">
        <v>1.99</v>
      </c>
      <c r="I27">
        <v>3.12</v>
      </c>
    </row>
    <row r="28" spans="1:9" x14ac:dyDescent="0.25">
      <c r="A28" s="8">
        <v>130000</v>
      </c>
      <c r="B28" s="8">
        <v>134999</v>
      </c>
      <c r="C28" s="8">
        <v>132499.5</v>
      </c>
      <c r="D28">
        <v>1512</v>
      </c>
      <c r="E28" s="30">
        <v>1.21E-2</v>
      </c>
      <c r="F28">
        <v>84.65</v>
      </c>
      <c r="G28" s="24">
        <v>131863</v>
      </c>
      <c r="H28">
        <v>2</v>
      </c>
      <c r="I28">
        <v>3.18</v>
      </c>
    </row>
    <row r="29" spans="1:9" x14ac:dyDescent="0.25">
      <c r="A29" s="8">
        <v>135000</v>
      </c>
      <c r="B29" s="8">
        <v>139999</v>
      </c>
      <c r="C29" s="8">
        <v>137499.5</v>
      </c>
      <c r="D29">
        <v>1219</v>
      </c>
      <c r="E29" s="30">
        <v>9.7999999999999997E-3</v>
      </c>
      <c r="F29">
        <v>85.86</v>
      </c>
      <c r="G29" s="24">
        <v>137284</v>
      </c>
      <c r="H29">
        <v>1.98</v>
      </c>
      <c r="I29">
        <v>3.11</v>
      </c>
    </row>
    <row r="30" spans="1:9" x14ac:dyDescent="0.25">
      <c r="A30" s="8">
        <v>140000</v>
      </c>
      <c r="B30" s="8">
        <v>144999</v>
      </c>
      <c r="C30" s="8">
        <v>142499.5</v>
      </c>
      <c r="D30">
        <v>1290</v>
      </c>
      <c r="E30" s="30">
        <v>1.04E-2</v>
      </c>
      <c r="F30">
        <v>86.84</v>
      </c>
      <c r="G30" s="24">
        <v>142199</v>
      </c>
      <c r="H30">
        <v>1.97</v>
      </c>
      <c r="I30">
        <v>3.03</v>
      </c>
    </row>
    <row r="31" spans="1:9" x14ac:dyDescent="0.25">
      <c r="A31" s="8">
        <v>145000</v>
      </c>
      <c r="B31" s="8">
        <v>149999</v>
      </c>
      <c r="C31" s="8">
        <v>147499.5</v>
      </c>
      <c r="D31">
        <v>1024</v>
      </c>
      <c r="E31" s="30">
        <v>8.2000000000000007E-3</v>
      </c>
      <c r="F31">
        <v>87.87</v>
      </c>
      <c r="G31" s="24">
        <v>147130</v>
      </c>
      <c r="H31">
        <v>2.0099999999999998</v>
      </c>
      <c r="I31">
        <v>3.11</v>
      </c>
    </row>
    <row r="32" spans="1:9" x14ac:dyDescent="0.25">
      <c r="A32" s="8">
        <v>150000</v>
      </c>
      <c r="B32" s="8">
        <v>154999</v>
      </c>
      <c r="C32" s="8">
        <v>152499.5</v>
      </c>
      <c r="D32">
        <v>1146</v>
      </c>
      <c r="E32" s="30">
        <v>9.1999999999999998E-3</v>
      </c>
      <c r="F32">
        <v>88.7</v>
      </c>
      <c r="G32" s="24">
        <v>151940</v>
      </c>
      <c r="H32">
        <v>1.85</v>
      </c>
      <c r="I32">
        <v>3.12</v>
      </c>
    </row>
    <row r="33" spans="1:9" x14ac:dyDescent="0.25">
      <c r="A33" s="8">
        <v>155000</v>
      </c>
      <c r="B33" s="8">
        <v>159999</v>
      </c>
      <c r="C33" s="8">
        <v>157499.5</v>
      </c>
      <c r="D33">
        <v>848</v>
      </c>
      <c r="E33" s="30">
        <v>6.7999999999999996E-3</v>
      </c>
      <c r="F33">
        <v>89.62</v>
      </c>
      <c r="G33" s="24">
        <v>157177</v>
      </c>
      <c r="H33">
        <v>2.08</v>
      </c>
      <c r="I33">
        <v>3.15</v>
      </c>
    </row>
    <row r="34" spans="1:9" x14ac:dyDescent="0.25">
      <c r="A34" s="8">
        <v>160000</v>
      </c>
      <c r="B34" s="8">
        <v>164999</v>
      </c>
      <c r="C34" s="8">
        <v>162499.5</v>
      </c>
      <c r="D34">
        <v>875</v>
      </c>
      <c r="E34" s="30">
        <v>7.0000000000000001E-3</v>
      </c>
      <c r="F34">
        <v>90.3</v>
      </c>
      <c r="G34" s="24">
        <v>162019</v>
      </c>
      <c r="H34">
        <v>2.02</v>
      </c>
      <c r="I34">
        <v>3.13</v>
      </c>
    </row>
    <row r="35" spans="1:9" x14ac:dyDescent="0.25">
      <c r="A35" s="8">
        <v>165000</v>
      </c>
      <c r="B35" s="8">
        <v>169999</v>
      </c>
      <c r="C35" s="8">
        <v>167499.5</v>
      </c>
      <c r="D35">
        <v>786</v>
      </c>
      <c r="E35" s="30">
        <v>6.3E-3</v>
      </c>
      <c r="F35">
        <v>91</v>
      </c>
      <c r="G35" s="24">
        <v>167101</v>
      </c>
      <c r="H35">
        <v>2.1</v>
      </c>
      <c r="I35">
        <v>3.16</v>
      </c>
    </row>
    <row r="36" spans="1:9" x14ac:dyDescent="0.25">
      <c r="A36" s="8">
        <v>170000</v>
      </c>
      <c r="B36" s="8">
        <v>174999</v>
      </c>
      <c r="C36" s="8">
        <v>172499.5</v>
      </c>
      <c r="D36">
        <v>717</v>
      </c>
      <c r="E36" s="30">
        <v>5.7999999999999996E-3</v>
      </c>
      <c r="F36">
        <v>91.63</v>
      </c>
      <c r="G36" s="24">
        <v>172169</v>
      </c>
      <c r="H36">
        <v>2.17</v>
      </c>
      <c r="I36">
        <v>3.21</v>
      </c>
    </row>
    <row r="37" spans="1:9" x14ac:dyDescent="0.25">
      <c r="A37" s="8">
        <v>175000</v>
      </c>
      <c r="B37" s="8">
        <v>179999</v>
      </c>
      <c r="C37" s="8">
        <v>177499.5</v>
      </c>
      <c r="D37">
        <v>607</v>
      </c>
      <c r="E37" s="30">
        <v>4.8999999999999998E-3</v>
      </c>
      <c r="F37">
        <v>92.21</v>
      </c>
      <c r="G37" s="24">
        <v>177187</v>
      </c>
      <c r="H37">
        <v>2.19</v>
      </c>
      <c r="I37">
        <v>3.28</v>
      </c>
    </row>
    <row r="38" spans="1:9" x14ac:dyDescent="0.25">
      <c r="A38" s="8">
        <v>180000</v>
      </c>
      <c r="B38" s="8">
        <v>184999</v>
      </c>
      <c r="C38" s="8">
        <v>182499.5</v>
      </c>
      <c r="D38">
        <v>619</v>
      </c>
      <c r="E38" s="30">
        <v>5.0000000000000001E-3</v>
      </c>
      <c r="F38">
        <v>92.69</v>
      </c>
      <c r="G38" s="24">
        <v>182055</v>
      </c>
      <c r="H38">
        <v>2.0299999999999998</v>
      </c>
      <c r="I38">
        <v>3.19</v>
      </c>
    </row>
    <row r="39" spans="1:9" x14ac:dyDescent="0.25">
      <c r="A39" s="8">
        <v>185000</v>
      </c>
      <c r="B39" s="8">
        <v>189999</v>
      </c>
      <c r="C39" s="8">
        <v>187499.5</v>
      </c>
      <c r="D39">
        <v>556</v>
      </c>
      <c r="E39" s="30">
        <v>4.4999999999999997E-3</v>
      </c>
      <c r="F39">
        <v>93.19</v>
      </c>
      <c r="G39" s="24">
        <v>187299</v>
      </c>
      <c r="H39">
        <v>2.0299999999999998</v>
      </c>
      <c r="I39">
        <v>3.2</v>
      </c>
    </row>
    <row r="40" spans="1:9" x14ac:dyDescent="0.25">
      <c r="A40" s="8">
        <v>190000</v>
      </c>
      <c r="B40" s="8">
        <v>194999</v>
      </c>
      <c r="C40" s="8">
        <v>192499.5</v>
      </c>
      <c r="D40">
        <v>485</v>
      </c>
      <c r="E40" s="30">
        <v>3.8999999999999998E-3</v>
      </c>
      <c r="F40">
        <v>93.64</v>
      </c>
      <c r="G40" s="24">
        <v>192241</v>
      </c>
      <c r="H40">
        <v>2.19</v>
      </c>
      <c r="I40">
        <v>3.29</v>
      </c>
    </row>
    <row r="41" spans="1:9" x14ac:dyDescent="0.25">
      <c r="A41" s="8">
        <v>195000</v>
      </c>
      <c r="B41" s="8">
        <v>199999</v>
      </c>
      <c r="C41" s="8">
        <v>197499.5</v>
      </c>
      <c r="D41">
        <v>436</v>
      </c>
      <c r="E41" s="30">
        <v>3.5000000000000001E-3</v>
      </c>
      <c r="F41">
        <v>94.03</v>
      </c>
      <c r="G41" s="24">
        <v>197211</v>
      </c>
      <c r="H41">
        <v>2.23</v>
      </c>
      <c r="I41">
        <v>3.27</v>
      </c>
    </row>
    <row r="42" spans="1:9" x14ac:dyDescent="0.25">
      <c r="A42" s="8">
        <v>200000</v>
      </c>
      <c r="B42" s="8">
        <v>249999</v>
      </c>
      <c r="C42" s="8">
        <v>224999.5</v>
      </c>
      <c r="D42">
        <v>3249</v>
      </c>
      <c r="E42" s="30">
        <v>2.6100000000000002E-2</v>
      </c>
      <c r="F42">
        <v>94.38</v>
      </c>
      <c r="G42" s="24">
        <v>220267</v>
      </c>
      <c r="H42">
        <v>2.08</v>
      </c>
      <c r="I42">
        <v>3.24</v>
      </c>
    </row>
    <row r="43" spans="1:9" x14ac:dyDescent="0.25">
      <c r="A43" s="8">
        <v>250000</v>
      </c>
      <c r="B43" s="8"/>
      <c r="C43" s="8">
        <v>275000</v>
      </c>
      <c r="D43">
        <v>3757</v>
      </c>
      <c r="E43" s="30">
        <v>3.0200000000000001E-2</v>
      </c>
      <c r="F43">
        <v>96.98</v>
      </c>
      <c r="G43" s="24">
        <v>402476</v>
      </c>
    </row>
  </sheetData>
  <mergeCells count="1">
    <mergeCell ref="L3:M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2693-64AD-462D-90DC-FDB37C898F1D}">
  <sheetPr codeName="Sheet7"/>
  <dimension ref="A1:G102"/>
  <sheetViews>
    <sheetView topLeftCell="A82" workbookViewId="0">
      <selection activeCell="B2" sqref="B2"/>
    </sheetView>
  </sheetViews>
  <sheetFormatPr defaultRowHeight="15" x14ac:dyDescent="0.25"/>
  <sheetData>
    <row r="1" spans="1:7" x14ac:dyDescent="0.25">
      <c r="A1" t="s">
        <v>375</v>
      </c>
      <c r="B1" t="s">
        <v>369</v>
      </c>
      <c r="C1" t="s">
        <v>370</v>
      </c>
      <c r="D1" t="s">
        <v>371</v>
      </c>
      <c r="E1" t="s">
        <v>372</v>
      </c>
      <c r="F1" t="s">
        <v>380</v>
      </c>
      <c r="G1" t="s">
        <v>374</v>
      </c>
    </row>
    <row r="2" spans="1:7" x14ac:dyDescent="0.25">
      <c r="A2">
        <v>0</v>
      </c>
      <c r="B2">
        <v>0.99999999000000006</v>
      </c>
      <c r="C2">
        <v>0.09</v>
      </c>
      <c r="D2">
        <v>0.12</v>
      </c>
      <c r="E2">
        <v>0.03</v>
      </c>
      <c r="F2">
        <v>0.05</v>
      </c>
      <c r="G2">
        <v>1.2E-2</v>
      </c>
    </row>
    <row r="3" spans="1:7" x14ac:dyDescent="0.25">
      <c r="A3">
        <v>1</v>
      </c>
      <c r="B3">
        <v>0.99999999000000006</v>
      </c>
      <c r="C3">
        <v>0.09</v>
      </c>
      <c r="D3">
        <v>0.12</v>
      </c>
      <c r="E3">
        <v>0.03</v>
      </c>
      <c r="F3">
        <v>0.05</v>
      </c>
      <c r="G3">
        <v>1.2E-2</v>
      </c>
    </row>
    <row r="4" spans="1:7" x14ac:dyDescent="0.25">
      <c r="A4">
        <v>2</v>
      </c>
      <c r="B4">
        <v>0.99384312999999991</v>
      </c>
      <c r="C4">
        <v>8.9915254237288134E-2</v>
      </c>
      <c r="D4">
        <v>0.12077966101694915</v>
      </c>
      <c r="E4">
        <v>3.0152542372881355E-2</v>
      </c>
      <c r="F4">
        <v>5.0491525423728818E-2</v>
      </c>
      <c r="G4">
        <v>1.2E-2</v>
      </c>
    </row>
    <row r="5" spans="1:7" x14ac:dyDescent="0.25">
      <c r="A5">
        <v>3</v>
      </c>
      <c r="B5">
        <v>0.98775934999999992</v>
      </c>
      <c r="C5">
        <v>8.9830508474576271E-2</v>
      </c>
      <c r="D5">
        <v>0.1215593220338983</v>
      </c>
      <c r="E5">
        <v>3.0305084745762711E-2</v>
      </c>
      <c r="F5">
        <v>5.0983050847457634E-2</v>
      </c>
      <c r="G5">
        <v>1.2E-2</v>
      </c>
    </row>
    <row r="6" spans="1:7" x14ac:dyDescent="0.25">
      <c r="A6">
        <v>4</v>
      </c>
      <c r="B6">
        <v>0.98174426999999997</v>
      </c>
      <c r="C6">
        <v>8.9745762711864407E-2</v>
      </c>
      <c r="D6">
        <v>0.12233898305084745</v>
      </c>
      <c r="E6">
        <v>3.0457627118644068E-2</v>
      </c>
      <c r="F6">
        <v>5.1474576271186449E-2</v>
      </c>
      <c r="G6">
        <v>1.2E-2</v>
      </c>
    </row>
    <row r="7" spans="1:7" x14ac:dyDescent="0.25">
      <c r="A7">
        <v>5</v>
      </c>
      <c r="B7">
        <v>0.97579351000000003</v>
      </c>
      <c r="C7">
        <v>8.9661016949152544E-2</v>
      </c>
      <c r="D7">
        <v>0.1231186440677966</v>
      </c>
      <c r="E7">
        <v>3.0610169491525424E-2</v>
      </c>
      <c r="F7">
        <v>5.1966101694915265E-2</v>
      </c>
      <c r="G7">
        <v>1.2E-2</v>
      </c>
    </row>
    <row r="8" spans="1:7" x14ac:dyDescent="0.25">
      <c r="A8">
        <v>6</v>
      </c>
      <c r="B8">
        <v>0.96990268999999996</v>
      </c>
      <c r="C8">
        <v>8.9576271186440681E-2</v>
      </c>
      <c r="D8">
        <v>0.12389830508474575</v>
      </c>
      <c r="E8">
        <v>3.076271186440678E-2</v>
      </c>
      <c r="F8">
        <v>5.245762711864408E-2</v>
      </c>
      <c r="G8">
        <v>1.2E-2</v>
      </c>
    </row>
    <row r="9" spans="1:7" x14ac:dyDescent="0.25">
      <c r="A9">
        <v>7</v>
      </c>
      <c r="B9">
        <v>0.96406742999999995</v>
      </c>
      <c r="C9">
        <v>8.9491525423728818E-2</v>
      </c>
      <c r="D9">
        <v>0.1246779661016949</v>
      </c>
      <c r="E9">
        <v>3.0915254237288137E-2</v>
      </c>
      <c r="F9">
        <v>5.2949152542372896E-2</v>
      </c>
      <c r="G9">
        <v>1.2E-2</v>
      </c>
    </row>
    <row r="10" spans="1:7" x14ac:dyDescent="0.25">
      <c r="A10">
        <v>8</v>
      </c>
      <c r="B10">
        <v>0.95828334999999998</v>
      </c>
      <c r="C10">
        <v>8.9406779661016955E-2</v>
      </c>
      <c r="D10">
        <v>0.12545762711864406</v>
      </c>
      <c r="E10">
        <v>3.1067796610169493E-2</v>
      </c>
      <c r="F10">
        <v>5.3440677966101711E-2</v>
      </c>
      <c r="G10">
        <v>1.2E-2</v>
      </c>
    </row>
    <row r="11" spans="1:7" x14ac:dyDescent="0.25">
      <c r="A11">
        <v>9</v>
      </c>
      <c r="B11">
        <v>0.95254606999999991</v>
      </c>
      <c r="C11">
        <v>8.9322033898305092E-2</v>
      </c>
      <c r="D11">
        <v>0.12623728813559321</v>
      </c>
      <c r="E11">
        <v>3.1220338983050849E-2</v>
      </c>
      <c r="F11">
        <v>5.3932203389830527E-2</v>
      </c>
      <c r="G11">
        <v>1.2E-2</v>
      </c>
    </row>
    <row r="12" spans="1:7" x14ac:dyDescent="0.25">
      <c r="A12">
        <v>10</v>
      </c>
      <c r="B12">
        <v>0.94685120999999994</v>
      </c>
      <c r="C12">
        <v>8.9237288135593229E-2</v>
      </c>
      <c r="D12">
        <v>0.12701694915254236</v>
      </c>
      <c r="E12">
        <v>3.1372881355932206E-2</v>
      </c>
      <c r="F12">
        <v>5.4423728813559342E-2</v>
      </c>
      <c r="G12">
        <v>1.2E-2</v>
      </c>
    </row>
    <row r="13" spans="1:7" x14ac:dyDescent="0.25">
      <c r="A13">
        <v>11</v>
      </c>
      <c r="B13">
        <v>0.94119438999999994</v>
      </c>
      <c r="C13">
        <v>8.9152542372881366E-2</v>
      </c>
      <c r="D13">
        <v>0.12779661016949151</v>
      </c>
      <c r="E13">
        <v>3.1525423728813562E-2</v>
      </c>
      <c r="F13">
        <v>5.4915254237288158E-2</v>
      </c>
      <c r="G13">
        <v>1.2E-2</v>
      </c>
    </row>
    <row r="14" spans="1:7" x14ac:dyDescent="0.25">
      <c r="A14">
        <v>12</v>
      </c>
      <c r="B14">
        <v>0.93557122999999998</v>
      </c>
      <c r="C14">
        <v>8.9067796610169503E-2</v>
      </c>
      <c r="D14">
        <v>0.12857627118644066</v>
      </c>
      <c r="E14">
        <v>3.1677966101694918E-2</v>
      </c>
      <c r="F14">
        <v>5.5406779661016974E-2</v>
      </c>
      <c r="G14">
        <v>1.2E-2</v>
      </c>
    </row>
    <row r="15" spans="1:7" x14ac:dyDescent="0.25">
      <c r="A15">
        <v>13</v>
      </c>
      <c r="B15">
        <v>0.92997734999999992</v>
      </c>
      <c r="C15">
        <v>8.898305084745764E-2</v>
      </c>
      <c r="D15">
        <v>0.12935593220338981</v>
      </c>
      <c r="E15">
        <v>3.1830508474576275E-2</v>
      </c>
      <c r="F15">
        <v>5.5898305084745789E-2</v>
      </c>
      <c r="G15">
        <v>1.2E-2</v>
      </c>
    </row>
    <row r="16" spans="1:7" x14ac:dyDescent="0.25">
      <c r="A16">
        <v>14</v>
      </c>
      <c r="B16">
        <v>0.92440836999999987</v>
      </c>
      <c r="C16">
        <v>8.8898305084745777E-2</v>
      </c>
      <c r="D16">
        <v>0.13013559322033896</v>
      </c>
      <c r="E16">
        <v>3.1983050847457631E-2</v>
      </c>
      <c r="F16">
        <v>5.6389830508474605E-2</v>
      </c>
      <c r="G16">
        <v>1.2E-2</v>
      </c>
    </row>
    <row r="17" spans="1:7" x14ac:dyDescent="0.25">
      <c r="A17">
        <v>15</v>
      </c>
      <c r="B17">
        <v>0.91885990999999989</v>
      </c>
      <c r="C17">
        <v>8.8813559322033914E-2</v>
      </c>
      <c r="D17">
        <v>0.13091525423728811</v>
      </c>
      <c r="E17">
        <v>3.2135593220338987E-2</v>
      </c>
      <c r="F17">
        <v>5.688135593220342E-2</v>
      </c>
      <c r="G17">
        <v>1.2E-2</v>
      </c>
    </row>
    <row r="18" spans="1:7" x14ac:dyDescent="0.25">
      <c r="A18">
        <v>16</v>
      </c>
      <c r="B18">
        <v>0.91332758999999997</v>
      </c>
      <c r="C18">
        <v>8.8728813559322051E-2</v>
      </c>
      <c r="D18">
        <v>0.13169491525423727</v>
      </c>
      <c r="E18">
        <v>3.2288135593220343E-2</v>
      </c>
      <c r="F18">
        <v>5.7372881355932236E-2</v>
      </c>
      <c r="G18">
        <v>1.2E-2</v>
      </c>
    </row>
    <row r="19" spans="1:7" x14ac:dyDescent="0.25">
      <c r="A19">
        <v>17</v>
      </c>
      <c r="B19">
        <v>0.90780702999999996</v>
      </c>
      <c r="C19">
        <v>8.8644067796610188E-2</v>
      </c>
      <c r="D19">
        <v>0.13247457627118642</v>
      </c>
      <c r="E19">
        <v>3.24406779661017E-2</v>
      </c>
      <c r="F19">
        <v>5.7864406779661051E-2</v>
      </c>
      <c r="G19">
        <v>1.2E-2</v>
      </c>
    </row>
    <row r="20" spans="1:7" x14ac:dyDescent="0.25">
      <c r="A20">
        <v>18</v>
      </c>
      <c r="B20">
        <v>0.90229384999999995</v>
      </c>
      <c r="C20">
        <v>8.8559322033898324E-2</v>
      </c>
      <c r="D20">
        <v>0.13325423728813557</v>
      </c>
      <c r="E20">
        <v>3.2593220338983056E-2</v>
      </c>
      <c r="F20">
        <v>5.8355932203389867E-2</v>
      </c>
      <c r="G20">
        <v>1.2E-2</v>
      </c>
    </row>
    <row r="21" spans="1:7" x14ac:dyDescent="0.25">
      <c r="A21">
        <v>19</v>
      </c>
      <c r="B21">
        <v>0.89678367000000003</v>
      </c>
      <c r="C21">
        <v>8.8474576271186461E-2</v>
      </c>
      <c r="D21">
        <v>0.13403389830508472</v>
      </c>
      <c r="E21">
        <v>3.2745762711864412E-2</v>
      </c>
      <c r="F21">
        <v>5.8847457627118682E-2</v>
      </c>
      <c r="G21">
        <v>1.2E-2</v>
      </c>
    </row>
    <row r="22" spans="1:7" x14ac:dyDescent="0.25">
      <c r="A22">
        <v>20</v>
      </c>
      <c r="B22">
        <v>0.89127211000000006</v>
      </c>
      <c r="C22">
        <v>8.8389830508474598E-2</v>
      </c>
      <c r="D22">
        <v>0.13481355932203387</v>
      </c>
      <c r="E22">
        <v>3.2898305084745769E-2</v>
      </c>
      <c r="F22">
        <v>5.9338983050847498E-2</v>
      </c>
      <c r="G22">
        <v>1.2E-2</v>
      </c>
    </row>
    <row r="23" spans="1:7" x14ac:dyDescent="0.25">
      <c r="A23">
        <v>21</v>
      </c>
      <c r="B23">
        <v>0.88575479000000001</v>
      </c>
      <c r="C23">
        <v>8.8305084745762735E-2</v>
      </c>
      <c r="D23">
        <v>0.13559322033898302</v>
      </c>
      <c r="E23">
        <v>3.3050847457627125E-2</v>
      </c>
      <c r="F23">
        <v>5.9830508474576313E-2</v>
      </c>
      <c r="G23">
        <v>1.2E-2</v>
      </c>
    </row>
    <row r="24" spans="1:7" x14ac:dyDescent="0.25">
      <c r="A24">
        <v>22</v>
      </c>
      <c r="B24">
        <v>0.88022732999999997</v>
      </c>
      <c r="C24">
        <v>8.8220338983050872E-2</v>
      </c>
      <c r="D24">
        <v>0.13637288135593217</v>
      </c>
      <c r="E24">
        <v>3.3203389830508481E-2</v>
      </c>
      <c r="F24">
        <v>6.0322033898305129E-2</v>
      </c>
      <c r="G24">
        <v>1.2E-2</v>
      </c>
    </row>
    <row r="25" spans="1:7" x14ac:dyDescent="0.25">
      <c r="A25">
        <v>23</v>
      </c>
      <c r="B25">
        <v>0.87468534999999992</v>
      </c>
      <c r="C25">
        <v>8.8135593220339009E-2</v>
      </c>
      <c r="D25">
        <v>0.13715254237288133</v>
      </c>
      <c r="E25">
        <v>3.3355932203389838E-2</v>
      </c>
      <c r="F25">
        <v>6.0813559322033944E-2</v>
      </c>
      <c r="G25">
        <v>1.2E-2</v>
      </c>
    </row>
    <row r="26" spans="1:7" x14ac:dyDescent="0.25">
      <c r="A26">
        <v>24</v>
      </c>
      <c r="B26">
        <v>0.86912446999999993</v>
      </c>
      <c r="C26">
        <v>8.8050847457627146E-2</v>
      </c>
      <c r="D26">
        <v>0.13793220338983048</v>
      </c>
      <c r="E26">
        <v>3.3508474576271194E-2</v>
      </c>
      <c r="F26">
        <v>6.130508474576276E-2</v>
      </c>
      <c r="G26">
        <v>1.2E-2</v>
      </c>
    </row>
    <row r="27" spans="1:7" x14ac:dyDescent="0.25">
      <c r="A27">
        <v>25</v>
      </c>
      <c r="B27">
        <v>0.86354031000000009</v>
      </c>
      <c r="C27">
        <v>8.7966101694915283E-2</v>
      </c>
      <c r="D27">
        <v>0.13871186440677963</v>
      </c>
      <c r="E27">
        <v>3.366101694915255E-2</v>
      </c>
      <c r="F27">
        <v>6.1796610169491575E-2</v>
      </c>
      <c r="G27">
        <v>1.2E-2</v>
      </c>
    </row>
    <row r="28" spans="1:7" x14ac:dyDescent="0.25">
      <c r="A28">
        <v>26</v>
      </c>
      <c r="B28">
        <v>0.85792849000000004</v>
      </c>
      <c r="C28">
        <v>8.788135593220342E-2</v>
      </c>
      <c r="D28">
        <v>0.13949152542372878</v>
      </c>
      <c r="E28">
        <v>3.3813559322033906E-2</v>
      </c>
      <c r="F28">
        <v>6.2288135593220391E-2</v>
      </c>
      <c r="G28">
        <v>1.2E-2</v>
      </c>
    </row>
    <row r="29" spans="1:7" x14ac:dyDescent="0.25">
      <c r="A29">
        <v>27</v>
      </c>
      <c r="B29">
        <v>0.85228462999999999</v>
      </c>
      <c r="C29">
        <v>8.7796610169491557E-2</v>
      </c>
      <c r="D29">
        <v>0.14027118644067793</v>
      </c>
      <c r="E29">
        <v>3.3966101694915263E-2</v>
      </c>
      <c r="F29">
        <v>6.2779661016949206E-2</v>
      </c>
      <c r="G29">
        <v>1.2E-2</v>
      </c>
    </row>
    <row r="30" spans="1:7" x14ac:dyDescent="0.25">
      <c r="A30">
        <v>28</v>
      </c>
      <c r="B30">
        <v>0.84660435000000001</v>
      </c>
      <c r="C30">
        <v>8.7711864406779694E-2</v>
      </c>
      <c r="D30">
        <v>0.14105084745762708</v>
      </c>
      <c r="E30">
        <v>3.4118644067796619E-2</v>
      </c>
      <c r="F30">
        <v>6.3271186440678015E-2</v>
      </c>
      <c r="G30">
        <v>1.2E-2</v>
      </c>
    </row>
    <row r="31" spans="1:7" x14ac:dyDescent="0.25">
      <c r="A31">
        <v>29</v>
      </c>
      <c r="B31">
        <v>0.84088326999999996</v>
      </c>
      <c r="C31">
        <v>8.7627118644067831E-2</v>
      </c>
      <c r="D31">
        <v>0.14183050847457623</v>
      </c>
      <c r="E31">
        <v>3.4271186440677975E-2</v>
      </c>
      <c r="F31">
        <v>6.3762711864406824E-2</v>
      </c>
      <c r="G31">
        <v>1.2E-2</v>
      </c>
    </row>
    <row r="32" spans="1:7" x14ac:dyDescent="0.25">
      <c r="A32">
        <v>30</v>
      </c>
      <c r="B32">
        <v>0.83511700999999994</v>
      </c>
      <c r="C32">
        <v>8.7542372881355968E-2</v>
      </c>
      <c r="D32">
        <v>0.14261016949152538</v>
      </c>
      <c r="E32">
        <v>3.4423728813559332E-2</v>
      </c>
      <c r="F32">
        <v>6.4254237288135632E-2</v>
      </c>
      <c r="G32">
        <v>1.2E-2</v>
      </c>
    </row>
    <row r="33" spans="1:7" x14ac:dyDescent="0.25">
      <c r="A33">
        <v>31</v>
      </c>
      <c r="B33">
        <v>0.82930118999999991</v>
      </c>
      <c r="C33">
        <v>8.7457627118644105E-2</v>
      </c>
      <c r="D33">
        <v>0.14338983050847454</v>
      </c>
      <c r="E33">
        <v>3.4576271186440688E-2</v>
      </c>
      <c r="F33">
        <v>6.4745762711864441E-2</v>
      </c>
      <c r="G33">
        <v>1.2E-2</v>
      </c>
    </row>
    <row r="34" spans="1:7" x14ac:dyDescent="0.25">
      <c r="A34">
        <v>32</v>
      </c>
      <c r="B34">
        <v>0.82343142999999985</v>
      </c>
      <c r="C34">
        <v>8.7372881355932241E-2</v>
      </c>
      <c r="D34">
        <v>0.14416949152542369</v>
      </c>
      <c r="E34">
        <v>3.4728813559322044E-2</v>
      </c>
      <c r="F34">
        <v>6.5237288135593249E-2</v>
      </c>
      <c r="G34">
        <v>1.2E-2</v>
      </c>
    </row>
    <row r="35" spans="1:7" x14ac:dyDescent="0.25">
      <c r="A35">
        <v>33</v>
      </c>
      <c r="B35">
        <v>0.81750334999999996</v>
      </c>
      <c r="C35">
        <v>8.7288135593220378E-2</v>
      </c>
      <c r="D35">
        <v>0.14494915254237284</v>
      </c>
      <c r="E35">
        <v>3.4881355932203401E-2</v>
      </c>
      <c r="F35">
        <v>6.5728813559322058E-2</v>
      </c>
      <c r="G35">
        <v>1.2E-2</v>
      </c>
    </row>
    <row r="36" spans="1:7" x14ac:dyDescent="0.25">
      <c r="A36">
        <v>34</v>
      </c>
      <c r="B36">
        <v>0.8115125700000001</v>
      </c>
      <c r="C36">
        <v>8.7203389830508515E-2</v>
      </c>
      <c r="D36">
        <v>0.14572881355932199</v>
      </c>
      <c r="E36">
        <v>3.5033898305084757E-2</v>
      </c>
      <c r="F36">
        <v>6.6220338983050867E-2</v>
      </c>
      <c r="G36">
        <v>1.2E-2</v>
      </c>
    </row>
    <row r="37" spans="1:7" x14ac:dyDescent="0.25">
      <c r="A37">
        <v>35</v>
      </c>
      <c r="B37">
        <v>0.80545470999999991</v>
      </c>
      <c r="C37">
        <v>8.7118644067796652E-2</v>
      </c>
      <c r="D37">
        <v>0.14650847457627114</v>
      </c>
      <c r="E37">
        <v>3.5186440677966113E-2</v>
      </c>
      <c r="F37">
        <v>6.6711864406779675E-2</v>
      </c>
      <c r="G37">
        <v>1.2E-2</v>
      </c>
    </row>
    <row r="38" spans="1:7" x14ac:dyDescent="0.25">
      <c r="A38">
        <v>36</v>
      </c>
      <c r="B38">
        <v>0.79932539000000002</v>
      </c>
      <c r="C38">
        <v>8.7033898305084789E-2</v>
      </c>
      <c r="D38">
        <v>0.14728813559322029</v>
      </c>
      <c r="E38">
        <v>3.5338983050847469E-2</v>
      </c>
      <c r="F38">
        <v>6.7203389830508484E-2</v>
      </c>
      <c r="G38">
        <v>1.2E-2</v>
      </c>
    </row>
    <row r="39" spans="1:7" x14ac:dyDescent="0.25">
      <c r="A39">
        <v>37</v>
      </c>
      <c r="B39">
        <v>0.79312022999999998</v>
      </c>
      <c r="C39">
        <v>8.6949152542372926E-2</v>
      </c>
      <c r="D39">
        <v>0.14806779661016944</v>
      </c>
      <c r="E39">
        <v>3.5491525423728826E-2</v>
      </c>
      <c r="F39">
        <v>6.7694915254237292E-2</v>
      </c>
      <c r="G39">
        <v>1.2E-2</v>
      </c>
    </row>
    <row r="40" spans="1:7" x14ac:dyDescent="0.25">
      <c r="A40">
        <v>38</v>
      </c>
      <c r="B40">
        <v>0.78683484999999997</v>
      </c>
      <c r="C40">
        <v>8.6864406779661063E-2</v>
      </c>
      <c r="D40">
        <v>0.1488474576271186</v>
      </c>
      <c r="E40">
        <v>3.5644067796610182E-2</v>
      </c>
      <c r="F40">
        <v>6.8186440677966101E-2</v>
      </c>
      <c r="G40">
        <v>1.2E-2</v>
      </c>
    </row>
    <row r="41" spans="1:7" x14ac:dyDescent="0.25">
      <c r="A41">
        <v>39</v>
      </c>
      <c r="B41">
        <v>0.78046486999999998</v>
      </c>
      <c r="C41">
        <v>8.67796610169492E-2</v>
      </c>
      <c r="D41">
        <v>0.14962711864406775</v>
      </c>
      <c r="E41">
        <v>3.5796610169491538E-2</v>
      </c>
      <c r="F41">
        <v>6.8677966101694909E-2</v>
      </c>
      <c r="G41">
        <v>1.2E-2</v>
      </c>
    </row>
    <row r="42" spans="1:7" x14ac:dyDescent="0.25">
      <c r="A42">
        <v>40</v>
      </c>
      <c r="B42">
        <v>0.77400590999999996</v>
      </c>
      <c r="C42">
        <v>8.6694915254237337E-2</v>
      </c>
      <c r="D42">
        <v>0.1504067796610169</v>
      </c>
      <c r="E42">
        <v>3.5949152542372895E-2</v>
      </c>
      <c r="F42">
        <v>6.9169491525423718E-2</v>
      </c>
      <c r="G42">
        <v>1.2E-2</v>
      </c>
    </row>
    <row r="43" spans="1:7" x14ac:dyDescent="0.25">
      <c r="A43">
        <v>41</v>
      </c>
      <c r="B43">
        <v>0.76745358999999991</v>
      </c>
      <c r="C43">
        <v>8.6610169491525474E-2</v>
      </c>
      <c r="D43">
        <v>0.15118644067796605</v>
      </c>
      <c r="E43">
        <v>3.6101694915254251E-2</v>
      </c>
      <c r="F43">
        <v>6.9661016949152527E-2</v>
      </c>
      <c r="G43">
        <v>1.2E-2</v>
      </c>
    </row>
    <row r="44" spans="1:7" x14ac:dyDescent="0.25">
      <c r="A44">
        <v>42</v>
      </c>
      <c r="B44">
        <v>0.76080352999999989</v>
      </c>
      <c r="C44">
        <v>8.6525423728813611E-2</v>
      </c>
      <c r="D44">
        <v>0.1519661016949152</v>
      </c>
      <c r="E44">
        <v>3.6254237288135607E-2</v>
      </c>
      <c r="F44">
        <v>7.0152542372881335E-2</v>
      </c>
      <c r="G44">
        <v>1.2E-2</v>
      </c>
    </row>
    <row r="45" spans="1:7" x14ac:dyDescent="0.25">
      <c r="A45">
        <v>43</v>
      </c>
      <c r="B45">
        <v>0.75405135000000012</v>
      </c>
      <c r="C45">
        <v>8.6440677966101748E-2</v>
      </c>
      <c r="D45">
        <v>0.15274576271186435</v>
      </c>
      <c r="E45">
        <v>3.6406779661016964E-2</v>
      </c>
      <c r="F45">
        <v>7.0644067796610144E-2</v>
      </c>
      <c r="G45">
        <v>1.2E-2</v>
      </c>
    </row>
    <row r="46" spans="1:7" x14ac:dyDescent="0.25">
      <c r="A46">
        <v>44</v>
      </c>
      <c r="B46">
        <v>0.74719267</v>
      </c>
      <c r="C46">
        <v>8.6355932203389885E-2</v>
      </c>
      <c r="D46">
        <v>0.1535254237288135</v>
      </c>
      <c r="E46">
        <v>3.655932203389832E-2</v>
      </c>
      <c r="F46">
        <v>7.1135593220338952E-2</v>
      </c>
      <c r="G46">
        <v>1.2E-2</v>
      </c>
    </row>
    <row r="47" spans="1:7" x14ac:dyDescent="0.25">
      <c r="A47">
        <v>45</v>
      </c>
      <c r="B47">
        <v>0.74022311000000007</v>
      </c>
      <c r="C47">
        <v>8.6271186440678022E-2</v>
      </c>
      <c r="D47">
        <v>0.15430508474576266</v>
      </c>
      <c r="E47">
        <v>3.6711864406779676E-2</v>
      </c>
      <c r="F47">
        <v>7.1627118644067761E-2</v>
      </c>
      <c r="G47">
        <v>1.2E-2</v>
      </c>
    </row>
    <row r="48" spans="1:7" x14ac:dyDescent="0.25">
      <c r="A48">
        <v>46</v>
      </c>
      <c r="B48">
        <v>0.73313828999999986</v>
      </c>
      <c r="C48">
        <v>8.6186440677966158E-2</v>
      </c>
      <c r="D48">
        <v>0.15508474576271181</v>
      </c>
      <c r="E48">
        <v>3.6864406779661033E-2</v>
      </c>
      <c r="F48">
        <v>7.211864406779657E-2</v>
      </c>
      <c r="G48">
        <v>1.2E-2</v>
      </c>
    </row>
    <row r="49" spans="1:7" x14ac:dyDescent="0.25">
      <c r="A49">
        <v>47</v>
      </c>
      <c r="B49">
        <v>0.72593383</v>
      </c>
      <c r="C49">
        <v>8.6101694915254295E-2</v>
      </c>
      <c r="D49">
        <v>0.15586440677966096</v>
      </c>
      <c r="E49">
        <v>3.7016949152542389E-2</v>
      </c>
      <c r="F49">
        <v>7.2610169491525378E-2</v>
      </c>
      <c r="G49">
        <v>1.2E-2</v>
      </c>
    </row>
    <row r="50" spans="1:7" x14ac:dyDescent="0.25">
      <c r="A50">
        <v>48</v>
      </c>
      <c r="B50">
        <v>0.71860535000000003</v>
      </c>
      <c r="C50">
        <v>8.6016949152542432E-2</v>
      </c>
      <c r="D50">
        <v>0.15664406779661011</v>
      </c>
      <c r="E50">
        <v>3.7169491525423745E-2</v>
      </c>
      <c r="F50">
        <v>7.3101694915254187E-2</v>
      </c>
      <c r="G50">
        <v>1.2E-2</v>
      </c>
    </row>
    <row r="51" spans="1:7" x14ac:dyDescent="0.25">
      <c r="A51">
        <v>49</v>
      </c>
      <c r="B51">
        <v>0.71114846999999992</v>
      </c>
      <c r="C51">
        <v>8.5932203389830569E-2</v>
      </c>
      <c r="D51">
        <v>0.15742372881355926</v>
      </c>
      <c r="E51">
        <v>3.7322033898305101E-2</v>
      </c>
      <c r="F51">
        <v>7.3593220338982995E-2</v>
      </c>
      <c r="G51">
        <v>1.2E-2</v>
      </c>
    </row>
    <row r="52" spans="1:7" x14ac:dyDescent="0.25">
      <c r="A52">
        <v>50</v>
      </c>
      <c r="B52">
        <v>0.70355880999999987</v>
      </c>
      <c r="C52">
        <v>8.5847457627118706E-2</v>
      </c>
      <c r="D52">
        <v>0.15820338983050841</v>
      </c>
      <c r="E52">
        <v>3.7474576271186458E-2</v>
      </c>
      <c r="F52">
        <v>7.4084745762711804E-2</v>
      </c>
      <c r="G52">
        <v>1.2E-2</v>
      </c>
    </row>
    <row r="53" spans="1:7" x14ac:dyDescent="0.25">
      <c r="A53">
        <v>51</v>
      </c>
      <c r="B53">
        <v>0.69583199000000007</v>
      </c>
      <c r="C53">
        <v>8.5762711864406843E-2</v>
      </c>
      <c r="D53">
        <v>0.15898305084745756</v>
      </c>
      <c r="E53">
        <v>3.7627118644067814E-2</v>
      </c>
      <c r="F53">
        <v>7.4576271186440612E-2</v>
      </c>
      <c r="G53">
        <v>1.2E-2</v>
      </c>
    </row>
    <row r="54" spans="1:7" x14ac:dyDescent="0.25">
      <c r="A54">
        <v>52</v>
      </c>
      <c r="B54">
        <v>0.68796363000000005</v>
      </c>
      <c r="C54">
        <v>8.567796610169498E-2</v>
      </c>
      <c r="D54">
        <v>0.15976271186440671</v>
      </c>
      <c r="E54">
        <v>3.777966101694917E-2</v>
      </c>
      <c r="F54">
        <v>7.5067796610169421E-2</v>
      </c>
      <c r="G54">
        <v>1.2E-2</v>
      </c>
    </row>
    <row r="55" spans="1:7" x14ac:dyDescent="0.25">
      <c r="A55">
        <v>53</v>
      </c>
      <c r="B55">
        <v>0.67994935000000001</v>
      </c>
      <c r="C55">
        <v>8.5593220338983117E-2</v>
      </c>
      <c r="D55">
        <v>0.16054237288135587</v>
      </c>
      <c r="E55">
        <v>3.7932203389830527E-2</v>
      </c>
      <c r="F55">
        <v>7.555932203389823E-2</v>
      </c>
      <c r="G55">
        <v>1.2E-2</v>
      </c>
    </row>
    <row r="56" spans="1:7" x14ac:dyDescent="0.25">
      <c r="A56">
        <v>54</v>
      </c>
      <c r="B56">
        <v>0.67178477000000003</v>
      </c>
      <c r="C56">
        <v>8.5508474576271254E-2</v>
      </c>
      <c r="D56">
        <v>0.16132203389830502</v>
      </c>
      <c r="E56">
        <v>3.8084745762711883E-2</v>
      </c>
      <c r="F56">
        <v>7.6050847457627038E-2</v>
      </c>
      <c r="G56">
        <v>1.2E-2</v>
      </c>
    </row>
    <row r="57" spans="1:7" x14ac:dyDescent="0.25">
      <c r="A57">
        <v>55</v>
      </c>
      <c r="B57">
        <v>0.66346550999999987</v>
      </c>
      <c r="C57">
        <v>8.5423728813559391E-2</v>
      </c>
      <c r="D57">
        <v>0.16210169491525417</v>
      </c>
      <c r="E57">
        <v>3.8237288135593239E-2</v>
      </c>
      <c r="F57">
        <v>7.6542372881355847E-2</v>
      </c>
      <c r="G57">
        <v>1.2E-2</v>
      </c>
    </row>
    <row r="58" spans="1:7" x14ac:dyDescent="0.25">
      <c r="A58">
        <v>56</v>
      </c>
      <c r="B58">
        <v>0.65498718999999994</v>
      </c>
      <c r="C58">
        <v>8.5338983050847528E-2</v>
      </c>
      <c r="D58">
        <v>0.16288135593220332</v>
      </c>
      <c r="E58">
        <v>3.8389830508474596E-2</v>
      </c>
      <c r="F58">
        <v>7.7033898305084655E-2</v>
      </c>
      <c r="G58">
        <v>1.2E-2</v>
      </c>
    </row>
    <row r="59" spans="1:7" x14ac:dyDescent="0.25">
      <c r="A59">
        <v>57</v>
      </c>
      <c r="B59">
        <v>0.64634543</v>
      </c>
      <c r="C59">
        <v>8.5254237288135665E-2</v>
      </c>
      <c r="D59">
        <v>0.16366101694915247</v>
      </c>
      <c r="E59">
        <v>3.8542372881355952E-2</v>
      </c>
      <c r="F59">
        <v>7.7525423728813464E-2</v>
      </c>
      <c r="G59">
        <v>1.2E-2</v>
      </c>
    </row>
    <row r="60" spans="1:7" x14ac:dyDescent="0.25">
      <c r="A60">
        <v>58</v>
      </c>
      <c r="B60">
        <v>0.63753585000000002</v>
      </c>
      <c r="C60">
        <v>8.5169491525423802E-2</v>
      </c>
      <c r="D60">
        <v>0.16444067796610162</v>
      </c>
      <c r="E60">
        <v>3.8694915254237308E-2</v>
      </c>
      <c r="F60">
        <v>7.8016949152542273E-2</v>
      </c>
      <c r="G60">
        <v>1.2E-2</v>
      </c>
    </row>
    <row r="61" spans="1:7" x14ac:dyDescent="0.25">
      <c r="A61">
        <v>59</v>
      </c>
      <c r="B61">
        <v>0.62855406999999996</v>
      </c>
      <c r="C61">
        <v>8.5084745762711939E-2</v>
      </c>
      <c r="D61">
        <v>0.16522033898305077</v>
      </c>
      <c r="E61">
        <v>3.8847457627118664E-2</v>
      </c>
      <c r="F61">
        <v>7.8508474576271081E-2</v>
      </c>
      <c r="G61">
        <v>1.2E-2</v>
      </c>
    </row>
    <row r="62" spans="1:7" x14ac:dyDescent="0.25">
      <c r="A62">
        <v>60</v>
      </c>
      <c r="B62">
        <v>0.61939571000000004</v>
      </c>
      <c r="C62">
        <v>8.5000000000000006E-2</v>
      </c>
      <c r="D62">
        <v>0.16600000000000001</v>
      </c>
      <c r="E62">
        <v>3.9E-2</v>
      </c>
      <c r="F62">
        <v>7.9000000000000001E-2</v>
      </c>
      <c r="G62">
        <v>1.2E-2</v>
      </c>
    </row>
    <row r="63" spans="1:7" x14ac:dyDescent="0.25">
      <c r="A63">
        <v>61</v>
      </c>
      <c r="B63">
        <v>0.61005639</v>
      </c>
      <c r="C63">
        <v>8.4724137931034491E-2</v>
      </c>
      <c r="D63">
        <v>0.16800000000000001</v>
      </c>
      <c r="E63">
        <v>4.4068965517241376E-2</v>
      </c>
      <c r="F63">
        <v>8.4724137931034477E-2</v>
      </c>
      <c r="G63">
        <v>1.2E-2</v>
      </c>
    </row>
    <row r="64" spans="1:7" x14ac:dyDescent="0.25">
      <c r="A64">
        <v>62</v>
      </c>
      <c r="B64">
        <v>0.60053173000000004</v>
      </c>
      <c r="C64">
        <v>8.4448275862068975E-2</v>
      </c>
      <c r="D64">
        <v>0.17</v>
      </c>
      <c r="E64">
        <v>4.9137931034482753E-2</v>
      </c>
      <c r="F64">
        <v>9.0448275862068953E-2</v>
      </c>
      <c r="G64">
        <v>1.2E-2</v>
      </c>
    </row>
    <row r="65" spans="1:7" x14ac:dyDescent="0.25">
      <c r="A65">
        <v>63</v>
      </c>
      <c r="B65">
        <v>0.59081735000000013</v>
      </c>
      <c r="C65">
        <v>8.4172413793103459E-2</v>
      </c>
      <c r="D65">
        <v>0.17200000000000001</v>
      </c>
      <c r="E65">
        <v>5.4206896551724129E-2</v>
      </c>
      <c r="F65">
        <v>9.6172413793103428E-2</v>
      </c>
      <c r="G65">
        <v>1.2E-2</v>
      </c>
    </row>
    <row r="66" spans="1:7" x14ac:dyDescent="0.25">
      <c r="A66">
        <v>64</v>
      </c>
      <c r="B66">
        <v>0.58090887000000002</v>
      </c>
      <c r="C66">
        <v>8.3896551724137944E-2</v>
      </c>
      <c r="D66">
        <v>0.17400000000000002</v>
      </c>
      <c r="E66">
        <v>5.9275862068965506E-2</v>
      </c>
      <c r="F66">
        <v>0.1018965517241379</v>
      </c>
      <c r="G66">
        <v>1.2E-2</v>
      </c>
    </row>
    <row r="67" spans="1:7" x14ac:dyDescent="0.25">
      <c r="A67">
        <v>65</v>
      </c>
      <c r="B67">
        <v>0.57080191000000002</v>
      </c>
      <c r="C67">
        <v>8.3620689655172428E-2</v>
      </c>
      <c r="D67">
        <v>0.17600000000000002</v>
      </c>
      <c r="E67">
        <v>6.4344827586206882E-2</v>
      </c>
      <c r="F67">
        <v>0.10762068965517238</v>
      </c>
      <c r="G67">
        <v>1.2E-2</v>
      </c>
    </row>
    <row r="68" spans="1:7" x14ac:dyDescent="0.25">
      <c r="A68">
        <v>66</v>
      </c>
      <c r="B68">
        <v>0.56049208999999989</v>
      </c>
      <c r="C68">
        <v>8.3344827586206913E-2</v>
      </c>
      <c r="D68">
        <v>0.17800000000000002</v>
      </c>
      <c r="E68">
        <v>6.9413793103448265E-2</v>
      </c>
      <c r="F68">
        <v>0.11334482758620686</v>
      </c>
      <c r="G68">
        <v>1.2E-2</v>
      </c>
    </row>
    <row r="69" spans="1:7" x14ac:dyDescent="0.25">
      <c r="A69">
        <v>67</v>
      </c>
      <c r="B69">
        <v>0.54997502999999992</v>
      </c>
      <c r="C69">
        <v>8.3068965517241397E-2</v>
      </c>
      <c r="D69">
        <v>0.18000000000000002</v>
      </c>
      <c r="E69">
        <v>7.4482758620689649E-2</v>
      </c>
      <c r="F69">
        <v>0.11906896551724133</v>
      </c>
      <c r="G69">
        <v>1.2E-2</v>
      </c>
    </row>
    <row r="70" spans="1:7" x14ac:dyDescent="0.25">
      <c r="A70">
        <v>68</v>
      </c>
      <c r="B70">
        <v>0.5392463500000001</v>
      </c>
      <c r="C70">
        <v>8.2793103448275882E-2</v>
      </c>
      <c r="D70">
        <v>0.18200000000000002</v>
      </c>
      <c r="E70">
        <v>7.9551724137931032E-2</v>
      </c>
      <c r="F70">
        <v>0.12479310344827581</v>
      </c>
      <c r="G70">
        <v>1.2E-2</v>
      </c>
    </row>
    <row r="71" spans="1:7" x14ac:dyDescent="0.25">
      <c r="A71">
        <v>69</v>
      </c>
      <c r="B71">
        <v>0.52830167000000006</v>
      </c>
      <c r="C71">
        <v>8.2517241379310366E-2</v>
      </c>
      <c r="D71">
        <v>0.18400000000000002</v>
      </c>
      <c r="E71">
        <v>8.4620689655172415E-2</v>
      </c>
      <c r="F71">
        <v>0.13051724137931028</v>
      </c>
      <c r="G71">
        <v>1.2E-2</v>
      </c>
    </row>
    <row r="72" spans="1:7" x14ac:dyDescent="0.25">
      <c r="A72">
        <v>70</v>
      </c>
      <c r="B72">
        <v>0.51713661</v>
      </c>
      <c r="C72">
        <v>8.224137931034485E-2</v>
      </c>
      <c r="D72">
        <v>0.18600000000000003</v>
      </c>
      <c r="E72">
        <v>8.9689655172413799E-2</v>
      </c>
      <c r="F72">
        <v>0.13624137931034477</v>
      </c>
      <c r="G72">
        <v>1.2E-2</v>
      </c>
    </row>
    <row r="73" spans="1:7" x14ac:dyDescent="0.25">
      <c r="A73">
        <v>71</v>
      </c>
      <c r="B73">
        <v>0.50574678999999989</v>
      </c>
      <c r="C73">
        <v>8.1965517241379335E-2</v>
      </c>
      <c r="D73">
        <v>0.18800000000000003</v>
      </c>
      <c r="E73">
        <v>9.4758620689655182E-2</v>
      </c>
      <c r="F73">
        <v>0.14196551724137926</v>
      </c>
      <c r="G73">
        <v>1.2E-2</v>
      </c>
    </row>
    <row r="74" spans="1:7" x14ac:dyDescent="0.25">
      <c r="A74">
        <v>72</v>
      </c>
      <c r="B74">
        <v>0.49412783000000005</v>
      </c>
      <c r="C74">
        <v>8.1689655172413819E-2</v>
      </c>
      <c r="D74">
        <v>0.19000000000000003</v>
      </c>
      <c r="E74">
        <v>9.9827586206896565E-2</v>
      </c>
      <c r="F74">
        <v>0.14768965517241375</v>
      </c>
      <c r="G74">
        <v>1.2E-2</v>
      </c>
    </row>
    <row r="75" spans="1:7" x14ac:dyDescent="0.25">
      <c r="A75">
        <v>73</v>
      </c>
      <c r="B75">
        <v>0.48227534999999999</v>
      </c>
      <c r="C75">
        <v>8.1413793103448304E-2</v>
      </c>
      <c r="D75">
        <v>0.19200000000000003</v>
      </c>
      <c r="E75">
        <v>0.10489655172413795</v>
      </c>
      <c r="F75">
        <v>0.15341379310344824</v>
      </c>
      <c r="G75">
        <v>1.2E-2</v>
      </c>
    </row>
    <row r="76" spans="1:7" x14ac:dyDescent="0.25">
      <c r="A76">
        <v>74</v>
      </c>
      <c r="B76">
        <v>0.47018497000000009</v>
      </c>
      <c r="C76">
        <v>8.1137931034482788E-2</v>
      </c>
      <c r="D76">
        <v>0.19400000000000003</v>
      </c>
      <c r="E76">
        <v>0.10996551724137933</v>
      </c>
      <c r="F76">
        <v>0.15913793103448273</v>
      </c>
      <c r="G76">
        <v>1.2E-2</v>
      </c>
    </row>
    <row r="77" spans="1:7" x14ac:dyDescent="0.25">
      <c r="A77">
        <v>75</v>
      </c>
      <c r="B77">
        <v>0.45785230999999993</v>
      </c>
      <c r="C77">
        <v>8.0862068965517273E-2</v>
      </c>
      <c r="D77">
        <v>0.19600000000000004</v>
      </c>
      <c r="E77">
        <v>0.11503448275862072</v>
      </c>
      <c r="F77">
        <v>0.16486206896551722</v>
      </c>
      <c r="G77">
        <v>1.2E-2</v>
      </c>
    </row>
    <row r="78" spans="1:7" x14ac:dyDescent="0.25">
      <c r="A78">
        <v>76</v>
      </c>
      <c r="B78">
        <v>0.44527299000000004</v>
      </c>
      <c r="C78">
        <v>8.0586206896551757E-2</v>
      </c>
      <c r="D78">
        <v>0.19800000000000004</v>
      </c>
      <c r="E78">
        <v>0.1201034482758621</v>
      </c>
      <c r="F78">
        <v>0.17058620689655171</v>
      </c>
      <c r="G78">
        <v>1.2E-2</v>
      </c>
    </row>
    <row r="79" spans="1:7" x14ac:dyDescent="0.25">
      <c r="A79">
        <v>77</v>
      </c>
      <c r="B79">
        <v>0.43244262999999999</v>
      </c>
      <c r="C79">
        <v>8.0310344827586241E-2</v>
      </c>
      <c r="D79">
        <v>0.20000000000000004</v>
      </c>
      <c r="E79">
        <v>0.12517241379310348</v>
      </c>
      <c r="F79">
        <v>0.1763103448275862</v>
      </c>
      <c r="G79">
        <v>1.2E-2</v>
      </c>
    </row>
    <row r="80" spans="1:7" x14ac:dyDescent="0.25">
      <c r="A80">
        <v>78</v>
      </c>
      <c r="B80">
        <v>0.41935684999999995</v>
      </c>
      <c r="C80">
        <v>8.0034482758620726E-2</v>
      </c>
      <c r="D80">
        <v>0.20200000000000004</v>
      </c>
      <c r="E80">
        <v>0.13024137931034485</v>
      </c>
      <c r="F80">
        <v>0.18203448275862069</v>
      </c>
      <c r="G80">
        <v>1.2E-2</v>
      </c>
    </row>
    <row r="81" spans="1:7" x14ac:dyDescent="0.25">
      <c r="A81">
        <v>79</v>
      </c>
      <c r="B81">
        <v>0.40601127000000004</v>
      </c>
      <c r="C81">
        <v>7.975862068965521E-2</v>
      </c>
      <c r="D81">
        <v>0.20400000000000004</v>
      </c>
      <c r="E81">
        <v>0.13531034482758622</v>
      </c>
      <c r="F81">
        <v>0.18775862068965518</v>
      </c>
      <c r="G81">
        <v>1.2E-2</v>
      </c>
    </row>
    <row r="82" spans="1:7" x14ac:dyDescent="0.25">
      <c r="A82">
        <v>80</v>
      </c>
      <c r="B82">
        <v>0.39240151000000001</v>
      </c>
      <c r="C82">
        <v>7.9482758620689695E-2</v>
      </c>
      <c r="D82">
        <v>0.20600000000000004</v>
      </c>
      <c r="E82">
        <v>0.14037931034482759</v>
      </c>
      <c r="F82">
        <v>0.19348275862068967</v>
      </c>
      <c r="G82">
        <v>1.2E-2</v>
      </c>
    </row>
    <row r="83" spans="1:7" x14ac:dyDescent="0.25">
      <c r="A83">
        <v>81</v>
      </c>
      <c r="B83">
        <v>0.37852318999999995</v>
      </c>
      <c r="C83">
        <v>7.9206896551724179E-2</v>
      </c>
      <c r="D83">
        <v>0.20800000000000005</v>
      </c>
      <c r="E83">
        <v>0.14544827586206896</v>
      </c>
      <c r="F83">
        <v>0.19920689655172416</v>
      </c>
      <c r="G83">
        <v>1.2E-2</v>
      </c>
    </row>
    <row r="84" spans="1:7" x14ac:dyDescent="0.25">
      <c r="A84">
        <v>82</v>
      </c>
      <c r="B84">
        <v>0.36437193000000001</v>
      </c>
      <c r="C84">
        <v>7.8931034482758664E-2</v>
      </c>
      <c r="D84">
        <v>0.21000000000000005</v>
      </c>
      <c r="E84">
        <v>0.15051724137931033</v>
      </c>
      <c r="F84">
        <v>0.20493103448275865</v>
      </c>
      <c r="G84">
        <v>1.2E-2</v>
      </c>
    </row>
    <row r="85" spans="1:7" x14ac:dyDescent="0.25">
      <c r="A85">
        <v>83</v>
      </c>
      <c r="B85">
        <v>0.34994334999999988</v>
      </c>
      <c r="C85">
        <v>7.8655172413793148E-2</v>
      </c>
      <c r="D85">
        <v>0.21200000000000005</v>
      </c>
      <c r="E85">
        <v>0.1555862068965517</v>
      </c>
      <c r="F85">
        <v>0.21065517241379314</v>
      </c>
      <c r="G85">
        <v>1.2E-2</v>
      </c>
    </row>
    <row r="86" spans="1:7" x14ac:dyDescent="0.25">
      <c r="A86">
        <v>84</v>
      </c>
      <c r="B86">
        <v>0.33523307000000008</v>
      </c>
      <c r="C86">
        <v>7.8379310344827632E-2</v>
      </c>
      <c r="D86">
        <v>0.21400000000000005</v>
      </c>
      <c r="E86">
        <v>0.16065517241379307</v>
      </c>
      <c r="F86">
        <v>0.21637931034482763</v>
      </c>
      <c r="G86">
        <v>1.2E-2</v>
      </c>
    </row>
    <row r="87" spans="1:7" x14ac:dyDescent="0.25">
      <c r="A87">
        <v>85</v>
      </c>
      <c r="B87">
        <v>0.32023671000000004</v>
      </c>
      <c r="C87">
        <v>7.8103448275862117E-2</v>
      </c>
      <c r="D87">
        <v>0.21600000000000005</v>
      </c>
      <c r="E87">
        <v>0.16572413793103444</v>
      </c>
      <c r="F87">
        <v>0.22210344827586212</v>
      </c>
      <c r="G87">
        <v>1.2E-2</v>
      </c>
    </row>
    <row r="88" spans="1:7" x14ac:dyDescent="0.25">
      <c r="A88">
        <v>86</v>
      </c>
      <c r="B88">
        <v>0.30494989000000011</v>
      </c>
      <c r="C88">
        <v>7.7827586206896601E-2</v>
      </c>
      <c r="D88">
        <v>0.21800000000000005</v>
      </c>
      <c r="E88">
        <v>0.17079310344827581</v>
      </c>
      <c r="F88">
        <v>0.22782758620689661</v>
      </c>
      <c r="G88">
        <v>1.2E-2</v>
      </c>
    </row>
    <row r="89" spans="1:7" x14ac:dyDescent="0.25">
      <c r="A89">
        <v>87</v>
      </c>
      <c r="B89">
        <v>0.28936822999999995</v>
      </c>
      <c r="C89">
        <v>7.7551724137931086E-2</v>
      </c>
      <c r="D89">
        <v>0.22000000000000006</v>
      </c>
      <c r="E89">
        <v>0.17586206896551718</v>
      </c>
      <c r="F89">
        <v>0.2335517241379311</v>
      </c>
      <c r="G89">
        <v>1.2E-2</v>
      </c>
    </row>
    <row r="90" spans="1:7" x14ac:dyDescent="0.25">
      <c r="A90">
        <v>88</v>
      </c>
      <c r="B90">
        <v>0.27348735000000002</v>
      </c>
      <c r="C90">
        <v>7.727586206896557E-2</v>
      </c>
      <c r="D90">
        <v>0.22200000000000006</v>
      </c>
      <c r="E90">
        <v>0.18093103448275855</v>
      </c>
      <c r="F90">
        <v>0.23927586206896559</v>
      </c>
      <c r="G90">
        <v>1.2E-2</v>
      </c>
    </row>
    <row r="91" spans="1:7" x14ac:dyDescent="0.25">
      <c r="A91">
        <v>89</v>
      </c>
      <c r="B91">
        <v>0.25730286999999996</v>
      </c>
      <c r="C91">
        <v>7.6999999999999999E-2</v>
      </c>
      <c r="D91">
        <v>0.224</v>
      </c>
      <c r="E91">
        <v>0.186</v>
      </c>
      <c r="F91">
        <v>0.245</v>
      </c>
      <c r="G91">
        <v>1.2E-2</v>
      </c>
    </row>
    <row r="92" spans="1:7" x14ac:dyDescent="0.25">
      <c r="A92">
        <v>90</v>
      </c>
      <c r="B92">
        <v>0.24081040999999992</v>
      </c>
      <c r="C92">
        <v>7.3899999999999993E-2</v>
      </c>
      <c r="D92">
        <v>0.20760000000000001</v>
      </c>
      <c r="E92">
        <v>0.1988</v>
      </c>
      <c r="F92">
        <v>0.26950000000000002</v>
      </c>
      <c r="G92">
        <v>1.2200000000000001E-2</v>
      </c>
    </row>
    <row r="93" spans="1:7" x14ac:dyDescent="0.25">
      <c r="A93">
        <v>91</v>
      </c>
      <c r="B93">
        <v>0.22400558999999998</v>
      </c>
      <c r="C93">
        <v>7.0799999999999988E-2</v>
      </c>
      <c r="D93">
        <v>0.19120000000000001</v>
      </c>
      <c r="E93">
        <v>0.21160000000000001</v>
      </c>
      <c r="F93">
        <v>0.29400000000000004</v>
      </c>
      <c r="G93">
        <v>1.2400000000000001E-2</v>
      </c>
    </row>
    <row r="94" spans="1:7" x14ac:dyDescent="0.25">
      <c r="A94">
        <v>92</v>
      </c>
      <c r="B94">
        <v>0.20688403</v>
      </c>
      <c r="C94">
        <v>6.7699999999999982E-2</v>
      </c>
      <c r="D94">
        <v>0.17480000000000001</v>
      </c>
      <c r="E94">
        <v>0.22440000000000002</v>
      </c>
      <c r="F94">
        <v>0.31850000000000006</v>
      </c>
      <c r="G94">
        <v>1.2600000000000002E-2</v>
      </c>
    </row>
    <row r="95" spans="1:7" x14ac:dyDescent="0.25">
      <c r="A95">
        <v>93</v>
      </c>
      <c r="B95">
        <v>0.18944134999999995</v>
      </c>
      <c r="C95">
        <v>6.4599999999999977E-2</v>
      </c>
      <c r="D95">
        <v>0.15840000000000001</v>
      </c>
      <c r="E95">
        <v>0.23720000000000002</v>
      </c>
      <c r="F95">
        <v>0.34300000000000008</v>
      </c>
      <c r="G95">
        <v>1.2800000000000002E-2</v>
      </c>
    </row>
    <row r="96" spans="1:7" x14ac:dyDescent="0.25">
      <c r="A96">
        <v>94</v>
      </c>
      <c r="B96">
        <v>0.17167317000000004</v>
      </c>
      <c r="C96">
        <v>6.1499999999999978E-2</v>
      </c>
      <c r="D96">
        <v>0.14200000000000002</v>
      </c>
      <c r="E96">
        <v>0.25</v>
      </c>
      <c r="F96">
        <v>0.3675000000000001</v>
      </c>
      <c r="G96">
        <v>1.3000000000000003E-2</v>
      </c>
    </row>
    <row r="97" spans="1:7" x14ac:dyDescent="0.25">
      <c r="A97">
        <v>95</v>
      </c>
      <c r="B97">
        <v>0.15357511000000013</v>
      </c>
      <c r="C97">
        <v>5.839999999999998E-2</v>
      </c>
      <c r="D97">
        <v>0.12560000000000002</v>
      </c>
      <c r="E97">
        <v>0.26279999999999998</v>
      </c>
      <c r="F97">
        <v>0.39200000000000013</v>
      </c>
      <c r="G97">
        <v>1.3200000000000003E-2</v>
      </c>
    </row>
    <row r="98" spans="1:7" x14ac:dyDescent="0.25">
      <c r="A98">
        <v>96</v>
      </c>
      <c r="B98">
        <v>0.13514279000000007</v>
      </c>
      <c r="C98">
        <v>5.5299999999999981E-2</v>
      </c>
      <c r="D98">
        <v>0.10920000000000002</v>
      </c>
      <c r="E98">
        <v>0.27559999999999996</v>
      </c>
      <c r="F98">
        <v>0.41650000000000015</v>
      </c>
      <c r="G98">
        <v>1.3400000000000004E-2</v>
      </c>
    </row>
    <row r="99" spans="1:7" x14ac:dyDescent="0.25">
      <c r="A99">
        <v>97</v>
      </c>
      <c r="B99">
        <v>0.11637182999999995</v>
      </c>
      <c r="C99">
        <v>5.2199999999999983E-2</v>
      </c>
      <c r="D99">
        <v>9.2800000000000021E-2</v>
      </c>
      <c r="E99">
        <v>0.28839999999999993</v>
      </c>
      <c r="F99">
        <v>0.44100000000000017</v>
      </c>
      <c r="G99">
        <v>1.3600000000000004E-2</v>
      </c>
    </row>
    <row r="100" spans="1:7" x14ac:dyDescent="0.25">
      <c r="A100">
        <v>98</v>
      </c>
      <c r="B100">
        <v>9.725785000000009E-2</v>
      </c>
      <c r="C100">
        <v>4.9099999999999984E-2</v>
      </c>
      <c r="D100">
        <v>7.6400000000000023E-2</v>
      </c>
      <c r="E100">
        <v>0.30119999999999991</v>
      </c>
      <c r="F100">
        <v>0.46550000000000019</v>
      </c>
      <c r="G100">
        <v>1.3800000000000005E-2</v>
      </c>
    </row>
    <row r="101" spans="1:7" x14ac:dyDescent="0.25">
      <c r="A101">
        <v>99</v>
      </c>
      <c r="B101">
        <v>7.7796470000000006E-2</v>
      </c>
      <c r="C101">
        <v>4.5999999999999999E-2</v>
      </c>
      <c r="D101">
        <v>0.06</v>
      </c>
      <c r="E101">
        <v>0.314</v>
      </c>
      <c r="F101">
        <v>0.49</v>
      </c>
      <c r="G101">
        <v>1.4E-2</v>
      </c>
    </row>
    <row r="102" spans="1:7" x14ac:dyDescent="0.25">
      <c r="A102">
        <v>100</v>
      </c>
      <c r="B102">
        <v>7.7796470000000006E-2</v>
      </c>
      <c r="C102">
        <v>4.5999999999999999E-2</v>
      </c>
      <c r="D102">
        <v>0.06</v>
      </c>
      <c r="E102">
        <v>0.314</v>
      </c>
      <c r="F102">
        <v>0.49</v>
      </c>
      <c r="G102">
        <v>1.4E-2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31705-8DE1-4CC3-8EBC-7F7BBD25618F}">
  <sheetPr codeName="Sheet8"/>
  <dimension ref="A1:G99"/>
  <sheetViews>
    <sheetView workbookViewId="0">
      <selection activeCell="H5" sqref="H5"/>
    </sheetView>
  </sheetViews>
  <sheetFormatPr defaultRowHeight="15" x14ac:dyDescent="0.25"/>
  <sheetData>
    <row r="1" spans="1:7" x14ac:dyDescent="0.25">
      <c r="A1" s="104" t="s">
        <v>425</v>
      </c>
      <c r="B1" s="104"/>
    </row>
    <row r="2" spans="1:7" x14ac:dyDescent="0.25">
      <c r="B2" t="s">
        <v>381</v>
      </c>
      <c r="C2" t="s">
        <v>382</v>
      </c>
      <c r="D2" t="s">
        <v>383</v>
      </c>
      <c r="E2" t="s">
        <v>384</v>
      </c>
      <c r="F2" t="s">
        <v>385</v>
      </c>
      <c r="G2" t="s">
        <v>386</v>
      </c>
    </row>
    <row r="3" spans="1:7" x14ac:dyDescent="0.25">
      <c r="A3" t="s">
        <v>369</v>
      </c>
      <c r="B3">
        <v>1.05</v>
      </c>
      <c r="C3">
        <v>1.03</v>
      </c>
      <c r="D3">
        <v>1.01</v>
      </c>
      <c r="E3">
        <v>0.95</v>
      </c>
      <c r="F3">
        <v>0.97</v>
      </c>
      <c r="G3">
        <v>0.99</v>
      </c>
    </row>
    <row r="4" spans="1:7" x14ac:dyDescent="0.25">
      <c r="A4" t="s">
        <v>370</v>
      </c>
      <c r="B4">
        <v>0.97</v>
      </c>
      <c r="C4">
        <v>0.96</v>
      </c>
      <c r="D4">
        <v>0.99</v>
      </c>
      <c r="E4">
        <v>0.98</v>
      </c>
      <c r="F4">
        <v>0.98</v>
      </c>
      <c r="G4">
        <v>1.04</v>
      </c>
    </row>
    <row r="5" spans="1:7" x14ac:dyDescent="0.25">
      <c r="A5" t="s">
        <v>371</v>
      </c>
      <c r="B5">
        <v>0.95</v>
      </c>
      <c r="C5">
        <v>0.97</v>
      </c>
      <c r="D5">
        <v>1.01</v>
      </c>
      <c r="E5">
        <v>1.04</v>
      </c>
      <c r="F5">
        <v>1.01</v>
      </c>
      <c r="G5">
        <v>0.95</v>
      </c>
    </row>
    <row r="6" spans="1:7" x14ac:dyDescent="0.25">
      <c r="A6" t="s">
        <v>372</v>
      </c>
      <c r="B6">
        <v>0.95</v>
      </c>
      <c r="C6">
        <v>0.96</v>
      </c>
      <c r="D6">
        <v>0.97</v>
      </c>
      <c r="E6">
        <v>1.01</v>
      </c>
      <c r="F6">
        <v>1.03</v>
      </c>
      <c r="G6">
        <v>1.05</v>
      </c>
    </row>
    <row r="7" spans="1:7" x14ac:dyDescent="0.25">
      <c r="A7" t="s">
        <v>373</v>
      </c>
      <c r="B7">
        <v>0.98</v>
      </c>
      <c r="C7">
        <v>0.99</v>
      </c>
      <c r="D7">
        <v>1.01</v>
      </c>
      <c r="E7">
        <v>1.01</v>
      </c>
      <c r="F7">
        <v>0.99</v>
      </c>
      <c r="G7">
        <v>0.97</v>
      </c>
    </row>
    <row r="8" spans="1:7" x14ac:dyDescent="0.25">
      <c r="A8" t="s">
        <v>374</v>
      </c>
      <c r="B8">
        <v>0.99</v>
      </c>
      <c r="C8">
        <v>1</v>
      </c>
      <c r="D8">
        <v>1</v>
      </c>
      <c r="E8">
        <v>1</v>
      </c>
      <c r="F8">
        <v>1.02</v>
      </c>
      <c r="G8">
        <v>1</v>
      </c>
    </row>
    <row r="10" spans="1:7" x14ac:dyDescent="0.25">
      <c r="A10" s="104" t="s">
        <v>426</v>
      </c>
      <c r="B10" s="104"/>
    </row>
    <row r="11" spans="1:7" x14ac:dyDescent="0.25">
      <c r="B11" t="s">
        <v>369</v>
      </c>
      <c r="C11" t="s">
        <v>370</v>
      </c>
      <c r="D11" t="s">
        <v>371</v>
      </c>
      <c r="E11" t="s">
        <v>372</v>
      </c>
      <c r="F11" t="s">
        <v>373</v>
      </c>
      <c r="G11" t="s">
        <v>374</v>
      </c>
    </row>
    <row r="12" spans="1:7" x14ac:dyDescent="0.25">
      <c r="A12">
        <v>18</v>
      </c>
      <c r="B12">
        <v>1.05</v>
      </c>
      <c r="C12">
        <v>0.97</v>
      </c>
      <c r="D12">
        <v>0.95</v>
      </c>
      <c r="E12">
        <v>0.95</v>
      </c>
      <c r="F12">
        <v>0.98</v>
      </c>
      <c r="G12">
        <v>0.99</v>
      </c>
    </row>
    <row r="13" spans="1:7" x14ac:dyDescent="0.25">
      <c r="A13">
        <v>19</v>
      </c>
      <c r="B13">
        <v>1.05</v>
      </c>
      <c r="C13">
        <v>0.97</v>
      </c>
      <c r="D13">
        <v>0.95</v>
      </c>
      <c r="E13">
        <v>0.95</v>
      </c>
      <c r="F13">
        <v>0.98</v>
      </c>
      <c r="G13">
        <v>0.99</v>
      </c>
    </row>
    <row r="14" spans="1:7" x14ac:dyDescent="0.25">
      <c r="A14">
        <v>20</v>
      </c>
      <c r="B14">
        <v>1.05</v>
      </c>
      <c r="C14">
        <v>0.97</v>
      </c>
      <c r="D14">
        <v>0.95</v>
      </c>
      <c r="E14">
        <v>0.95</v>
      </c>
      <c r="F14">
        <v>0.98</v>
      </c>
      <c r="G14">
        <v>0.99</v>
      </c>
    </row>
    <row r="15" spans="1:7" x14ac:dyDescent="0.25">
      <c r="A15">
        <v>21</v>
      </c>
      <c r="B15">
        <v>1.05</v>
      </c>
      <c r="C15">
        <v>0.97</v>
      </c>
      <c r="D15">
        <v>0.95</v>
      </c>
      <c r="E15">
        <v>0.95</v>
      </c>
      <c r="F15">
        <v>0.98</v>
      </c>
      <c r="G15">
        <v>0.99</v>
      </c>
    </row>
    <row r="16" spans="1:7" x14ac:dyDescent="0.25">
      <c r="A16">
        <v>22</v>
      </c>
      <c r="B16">
        <v>1.05</v>
      </c>
      <c r="C16">
        <v>0.97</v>
      </c>
      <c r="D16">
        <v>0.95</v>
      </c>
      <c r="E16">
        <v>0.95</v>
      </c>
      <c r="F16">
        <v>0.98</v>
      </c>
      <c r="G16">
        <v>0.99</v>
      </c>
    </row>
    <row r="17" spans="1:7" x14ac:dyDescent="0.25">
      <c r="A17">
        <v>23</v>
      </c>
      <c r="B17">
        <v>1.05</v>
      </c>
      <c r="C17">
        <v>0.97</v>
      </c>
      <c r="D17">
        <v>0.95</v>
      </c>
      <c r="E17">
        <v>0.95</v>
      </c>
      <c r="F17">
        <v>0.98</v>
      </c>
      <c r="G17">
        <v>0.99</v>
      </c>
    </row>
    <row r="18" spans="1:7" x14ac:dyDescent="0.25">
      <c r="A18">
        <v>24</v>
      </c>
      <c r="B18">
        <v>1.05</v>
      </c>
      <c r="C18">
        <v>0.97</v>
      </c>
      <c r="D18">
        <v>0.95</v>
      </c>
      <c r="E18">
        <v>0.95</v>
      </c>
      <c r="F18">
        <v>0.98</v>
      </c>
      <c r="G18">
        <v>0.99</v>
      </c>
    </row>
    <row r="19" spans="1:7" x14ac:dyDescent="0.25">
      <c r="A19">
        <v>25</v>
      </c>
      <c r="B19">
        <v>1.05</v>
      </c>
      <c r="C19">
        <v>0.97</v>
      </c>
      <c r="D19">
        <v>0.95</v>
      </c>
      <c r="E19">
        <v>0.95</v>
      </c>
      <c r="F19">
        <v>0.98</v>
      </c>
      <c r="G19">
        <v>0.99</v>
      </c>
    </row>
    <row r="20" spans="1:7" x14ac:dyDescent="0.25">
      <c r="A20">
        <v>26</v>
      </c>
      <c r="B20">
        <v>1.05</v>
      </c>
      <c r="C20">
        <v>0.97</v>
      </c>
      <c r="D20">
        <v>0.95</v>
      </c>
      <c r="E20">
        <v>0.95</v>
      </c>
      <c r="F20">
        <v>0.98</v>
      </c>
      <c r="G20">
        <v>0.99</v>
      </c>
    </row>
    <row r="21" spans="1:7" x14ac:dyDescent="0.25">
      <c r="A21">
        <v>27</v>
      </c>
      <c r="B21">
        <v>1.05</v>
      </c>
      <c r="C21">
        <v>0.97</v>
      </c>
      <c r="D21">
        <v>0.95</v>
      </c>
      <c r="E21">
        <v>0.95</v>
      </c>
      <c r="F21">
        <v>0.98</v>
      </c>
      <c r="G21">
        <v>0.99</v>
      </c>
    </row>
    <row r="22" spans="1:7" x14ac:dyDescent="0.25">
      <c r="A22">
        <v>28</v>
      </c>
      <c r="B22">
        <v>1.05</v>
      </c>
      <c r="C22">
        <v>0.97</v>
      </c>
      <c r="D22">
        <v>0.95</v>
      </c>
      <c r="E22">
        <v>0.95</v>
      </c>
      <c r="F22">
        <v>0.98</v>
      </c>
      <c r="G22">
        <v>0.99</v>
      </c>
    </row>
    <row r="23" spans="1:7" x14ac:dyDescent="0.25">
      <c r="A23">
        <v>29</v>
      </c>
      <c r="B23">
        <v>1.05</v>
      </c>
      <c r="C23">
        <v>0.97</v>
      </c>
      <c r="D23">
        <v>0.95</v>
      </c>
      <c r="E23">
        <v>0.95</v>
      </c>
      <c r="F23">
        <v>0.98</v>
      </c>
      <c r="G23">
        <v>0.99</v>
      </c>
    </row>
    <row r="24" spans="1:7" x14ac:dyDescent="0.25">
      <c r="A24">
        <v>30</v>
      </c>
      <c r="B24">
        <v>1.05</v>
      </c>
      <c r="C24">
        <v>0.97</v>
      </c>
      <c r="D24">
        <v>0.95</v>
      </c>
      <c r="E24">
        <v>0.95</v>
      </c>
      <c r="F24">
        <v>0.98</v>
      </c>
      <c r="G24">
        <v>0.99</v>
      </c>
    </row>
    <row r="25" spans="1:7" x14ac:dyDescent="0.25">
      <c r="A25">
        <v>31</v>
      </c>
      <c r="B25">
        <v>1.05</v>
      </c>
      <c r="C25">
        <v>0.97</v>
      </c>
      <c r="D25">
        <v>0.95</v>
      </c>
      <c r="E25">
        <v>0.95</v>
      </c>
      <c r="F25">
        <v>0.98</v>
      </c>
      <c r="G25">
        <v>0.99</v>
      </c>
    </row>
    <row r="26" spans="1:7" x14ac:dyDescent="0.25">
      <c r="A26">
        <v>32</v>
      </c>
      <c r="B26">
        <v>1.05</v>
      </c>
      <c r="C26">
        <v>0.97</v>
      </c>
      <c r="D26">
        <v>0.95</v>
      </c>
      <c r="E26">
        <v>0.95</v>
      </c>
      <c r="F26">
        <v>0.98</v>
      </c>
      <c r="G26">
        <v>0.99</v>
      </c>
    </row>
    <row r="27" spans="1:7" x14ac:dyDescent="0.25">
      <c r="A27">
        <v>33</v>
      </c>
      <c r="B27">
        <v>1.05</v>
      </c>
      <c r="C27">
        <v>0.97</v>
      </c>
      <c r="D27">
        <v>0.95</v>
      </c>
      <c r="E27">
        <v>0.95</v>
      </c>
      <c r="F27">
        <v>0.98</v>
      </c>
      <c r="G27">
        <v>0.99</v>
      </c>
    </row>
    <row r="28" spans="1:7" x14ac:dyDescent="0.25">
      <c r="A28">
        <v>34</v>
      </c>
      <c r="B28">
        <v>1.05</v>
      </c>
      <c r="C28">
        <v>0.97</v>
      </c>
      <c r="D28">
        <v>0.95</v>
      </c>
      <c r="E28">
        <v>0.95</v>
      </c>
      <c r="F28">
        <v>0.98</v>
      </c>
      <c r="G28">
        <v>0.99</v>
      </c>
    </row>
    <row r="29" spans="1:7" x14ac:dyDescent="0.25">
      <c r="A29">
        <v>35</v>
      </c>
      <c r="B29">
        <v>1.05</v>
      </c>
      <c r="C29">
        <v>0.97</v>
      </c>
      <c r="D29">
        <v>0.95</v>
      </c>
      <c r="E29">
        <v>0.95</v>
      </c>
      <c r="F29">
        <v>0.98</v>
      </c>
      <c r="G29">
        <v>0.99</v>
      </c>
    </row>
    <row r="30" spans="1:7" x14ac:dyDescent="0.25">
      <c r="A30">
        <v>36</v>
      </c>
      <c r="B30">
        <v>1.03</v>
      </c>
      <c r="C30">
        <v>0.96</v>
      </c>
      <c r="D30">
        <v>0.97</v>
      </c>
      <c r="E30">
        <v>0.96</v>
      </c>
      <c r="F30">
        <v>0.99</v>
      </c>
      <c r="G30">
        <v>1</v>
      </c>
    </row>
    <row r="31" spans="1:7" x14ac:dyDescent="0.25">
      <c r="A31">
        <v>37</v>
      </c>
      <c r="B31">
        <v>1.03</v>
      </c>
      <c r="C31">
        <v>0.96</v>
      </c>
      <c r="D31">
        <v>0.97</v>
      </c>
      <c r="E31">
        <v>0.96</v>
      </c>
      <c r="F31">
        <v>0.99</v>
      </c>
      <c r="G31">
        <v>1</v>
      </c>
    </row>
    <row r="32" spans="1:7" x14ac:dyDescent="0.25">
      <c r="A32">
        <v>38</v>
      </c>
      <c r="B32">
        <v>1.03</v>
      </c>
      <c r="C32">
        <v>0.96</v>
      </c>
      <c r="D32">
        <v>0.97</v>
      </c>
      <c r="E32">
        <v>0.96</v>
      </c>
      <c r="F32">
        <v>0.99</v>
      </c>
      <c r="G32">
        <v>1</v>
      </c>
    </row>
    <row r="33" spans="1:7" x14ac:dyDescent="0.25">
      <c r="A33">
        <v>39</v>
      </c>
      <c r="B33">
        <v>1.03</v>
      </c>
      <c r="C33">
        <v>0.96</v>
      </c>
      <c r="D33">
        <v>0.97</v>
      </c>
      <c r="E33">
        <v>0.96</v>
      </c>
      <c r="F33">
        <v>0.99</v>
      </c>
      <c r="G33">
        <v>1</v>
      </c>
    </row>
    <row r="34" spans="1:7" x14ac:dyDescent="0.25">
      <c r="A34">
        <v>40</v>
      </c>
      <c r="B34">
        <v>1.03</v>
      </c>
      <c r="C34">
        <v>0.96</v>
      </c>
      <c r="D34">
        <v>0.97</v>
      </c>
      <c r="E34">
        <v>0.96</v>
      </c>
      <c r="F34">
        <v>0.99</v>
      </c>
      <c r="G34">
        <v>1</v>
      </c>
    </row>
    <row r="35" spans="1:7" x14ac:dyDescent="0.25">
      <c r="A35">
        <v>41</v>
      </c>
      <c r="B35">
        <v>1.03</v>
      </c>
      <c r="C35">
        <v>0.96</v>
      </c>
      <c r="D35">
        <v>0.97</v>
      </c>
      <c r="E35">
        <v>0.96</v>
      </c>
      <c r="F35">
        <v>0.99</v>
      </c>
      <c r="G35">
        <v>1</v>
      </c>
    </row>
    <row r="36" spans="1:7" x14ac:dyDescent="0.25">
      <c r="A36">
        <v>42</v>
      </c>
      <c r="B36">
        <v>1.03</v>
      </c>
      <c r="C36">
        <v>0.96</v>
      </c>
      <c r="D36">
        <v>0.97</v>
      </c>
      <c r="E36">
        <v>0.96</v>
      </c>
      <c r="F36">
        <v>0.99</v>
      </c>
      <c r="G36">
        <v>1</v>
      </c>
    </row>
    <row r="37" spans="1:7" x14ac:dyDescent="0.25">
      <c r="A37">
        <v>43</v>
      </c>
      <c r="B37">
        <v>1.03</v>
      </c>
      <c r="C37">
        <v>0.96</v>
      </c>
      <c r="D37">
        <v>0.97</v>
      </c>
      <c r="E37">
        <v>0.96</v>
      </c>
      <c r="F37">
        <v>0.99</v>
      </c>
      <c r="G37">
        <v>1</v>
      </c>
    </row>
    <row r="38" spans="1:7" x14ac:dyDescent="0.25">
      <c r="A38">
        <v>44</v>
      </c>
      <c r="B38">
        <v>1.03</v>
      </c>
      <c r="C38">
        <v>0.96</v>
      </c>
      <c r="D38">
        <v>0.97</v>
      </c>
      <c r="E38">
        <v>0.96</v>
      </c>
      <c r="F38">
        <v>0.99</v>
      </c>
      <c r="G38">
        <v>1</v>
      </c>
    </row>
    <row r="39" spans="1:7" x14ac:dyDescent="0.25">
      <c r="A39">
        <v>45</v>
      </c>
      <c r="B39">
        <v>1.01</v>
      </c>
      <c r="C39">
        <v>0.99</v>
      </c>
      <c r="D39">
        <v>1.01</v>
      </c>
      <c r="E39">
        <v>0.97</v>
      </c>
      <c r="F39">
        <v>1.01</v>
      </c>
      <c r="G39">
        <v>1</v>
      </c>
    </row>
    <row r="40" spans="1:7" x14ac:dyDescent="0.25">
      <c r="A40">
        <v>46</v>
      </c>
      <c r="B40">
        <v>1.01</v>
      </c>
      <c r="C40">
        <v>0.99</v>
      </c>
      <c r="D40">
        <v>1.01</v>
      </c>
      <c r="E40">
        <v>0.97</v>
      </c>
      <c r="F40">
        <v>1.01</v>
      </c>
      <c r="G40">
        <v>1</v>
      </c>
    </row>
    <row r="41" spans="1:7" x14ac:dyDescent="0.25">
      <c r="A41">
        <v>47</v>
      </c>
      <c r="B41">
        <v>1.01</v>
      </c>
      <c r="C41">
        <v>0.99</v>
      </c>
      <c r="D41">
        <v>1.01</v>
      </c>
      <c r="E41">
        <v>0.97</v>
      </c>
      <c r="F41">
        <v>1.01</v>
      </c>
      <c r="G41">
        <v>1</v>
      </c>
    </row>
    <row r="42" spans="1:7" x14ac:dyDescent="0.25">
      <c r="A42">
        <v>48</v>
      </c>
      <c r="B42">
        <v>1.01</v>
      </c>
      <c r="C42">
        <v>0.99</v>
      </c>
      <c r="D42">
        <v>1.01</v>
      </c>
      <c r="E42">
        <v>0.97</v>
      </c>
      <c r="F42">
        <v>1.01</v>
      </c>
      <c r="G42">
        <v>1</v>
      </c>
    </row>
    <row r="43" spans="1:7" x14ac:dyDescent="0.25">
      <c r="A43">
        <v>49</v>
      </c>
      <c r="B43">
        <v>1.01</v>
      </c>
      <c r="C43">
        <v>0.99</v>
      </c>
      <c r="D43">
        <v>1.01</v>
      </c>
      <c r="E43">
        <v>0.97</v>
      </c>
      <c r="F43">
        <v>1.01</v>
      </c>
      <c r="G43">
        <v>1</v>
      </c>
    </row>
    <row r="44" spans="1:7" x14ac:dyDescent="0.25">
      <c r="A44">
        <v>50</v>
      </c>
      <c r="B44">
        <v>1.01</v>
      </c>
      <c r="C44">
        <v>0.99</v>
      </c>
      <c r="D44">
        <v>1.01</v>
      </c>
      <c r="E44">
        <v>0.97</v>
      </c>
      <c r="F44">
        <v>1.01</v>
      </c>
      <c r="G44">
        <v>1</v>
      </c>
    </row>
    <row r="45" spans="1:7" x14ac:dyDescent="0.25">
      <c r="A45">
        <v>51</v>
      </c>
      <c r="B45">
        <v>1.01</v>
      </c>
      <c r="C45">
        <v>0.99</v>
      </c>
      <c r="D45">
        <v>1.01</v>
      </c>
      <c r="E45">
        <v>0.97</v>
      </c>
      <c r="F45">
        <v>1.01</v>
      </c>
      <c r="G45">
        <v>1</v>
      </c>
    </row>
    <row r="46" spans="1:7" x14ac:dyDescent="0.25">
      <c r="A46">
        <v>52</v>
      </c>
      <c r="B46">
        <v>1.01</v>
      </c>
      <c r="C46">
        <v>0.99</v>
      </c>
      <c r="D46">
        <v>1.01</v>
      </c>
      <c r="E46">
        <v>0.97</v>
      </c>
      <c r="F46">
        <v>1.01</v>
      </c>
      <c r="G46">
        <v>1</v>
      </c>
    </row>
    <row r="47" spans="1:7" x14ac:dyDescent="0.25">
      <c r="A47">
        <v>53</v>
      </c>
      <c r="B47">
        <v>1.01</v>
      </c>
      <c r="C47">
        <v>0.99</v>
      </c>
      <c r="D47">
        <v>1.01</v>
      </c>
      <c r="E47">
        <v>0.97</v>
      </c>
      <c r="F47">
        <v>1.01</v>
      </c>
      <c r="G47">
        <v>1</v>
      </c>
    </row>
    <row r="48" spans="1:7" x14ac:dyDescent="0.25">
      <c r="A48">
        <v>54</v>
      </c>
      <c r="B48">
        <v>1.01</v>
      </c>
      <c r="C48">
        <v>0.99</v>
      </c>
      <c r="D48">
        <v>1.01</v>
      </c>
      <c r="E48">
        <v>0.97</v>
      </c>
      <c r="F48">
        <v>1.01</v>
      </c>
      <c r="G48">
        <v>1</v>
      </c>
    </row>
    <row r="49" spans="1:7" x14ac:dyDescent="0.25">
      <c r="A49">
        <v>55</v>
      </c>
      <c r="B49">
        <v>0.95</v>
      </c>
      <c r="C49">
        <v>0.98</v>
      </c>
      <c r="D49">
        <v>1.04</v>
      </c>
      <c r="E49">
        <v>1.01</v>
      </c>
      <c r="F49">
        <v>1.01</v>
      </c>
      <c r="G49">
        <v>1</v>
      </c>
    </row>
    <row r="50" spans="1:7" x14ac:dyDescent="0.25">
      <c r="A50">
        <v>56</v>
      </c>
      <c r="B50">
        <v>0.95</v>
      </c>
      <c r="C50">
        <v>0.98</v>
      </c>
      <c r="D50">
        <v>1.04</v>
      </c>
      <c r="E50">
        <v>1.01</v>
      </c>
      <c r="F50">
        <v>1.01</v>
      </c>
      <c r="G50">
        <v>1</v>
      </c>
    </row>
    <row r="51" spans="1:7" x14ac:dyDescent="0.25">
      <c r="A51">
        <v>57</v>
      </c>
      <c r="B51">
        <v>0.95</v>
      </c>
      <c r="C51">
        <v>0.98</v>
      </c>
      <c r="D51">
        <v>1.04</v>
      </c>
      <c r="E51">
        <v>1.01</v>
      </c>
      <c r="F51">
        <v>1.01</v>
      </c>
      <c r="G51">
        <v>1</v>
      </c>
    </row>
    <row r="52" spans="1:7" x14ac:dyDescent="0.25">
      <c r="A52">
        <v>58</v>
      </c>
      <c r="B52">
        <v>0.95</v>
      </c>
      <c r="C52">
        <v>0.98</v>
      </c>
      <c r="D52">
        <v>1.04</v>
      </c>
      <c r="E52">
        <v>1.01</v>
      </c>
      <c r="F52">
        <v>1.01</v>
      </c>
      <c r="G52">
        <v>1</v>
      </c>
    </row>
    <row r="53" spans="1:7" x14ac:dyDescent="0.25">
      <c r="A53">
        <v>59</v>
      </c>
      <c r="B53">
        <v>0.95</v>
      </c>
      <c r="C53">
        <v>0.98</v>
      </c>
      <c r="D53">
        <v>1.04</v>
      </c>
      <c r="E53">
        <v>1.01</v>
      </c>
      <c r="F53">
        <v>1.01</v>
      </c>
      <c r="G53">
        <v>1</v>
      </c>
    </row>
    <row r="54" spans="1:7" x14ac:dyDescent="0.25">
      <c r="A54">
        <v>60</v>
      </c>
      <c r="B54">
        <v>0.95</v>
      </c>
      <c r="C54">
        <v>0.98</v>
      </c>
      <c r="D54">
        <v>1.04</v>
      </c>
      <c r="E54">
        <v>1.01</v>
      </c>
      <c r="F54">
        <v>1.01</v>
      </c>
      <c r="G54">
        <v>1</v>
      </c>
    </row>
    <row r="55" spans="1:7" x14ac:dyDescent="0.25">
      <c r="A55">
        <v>61</v>
      </c>
      <c r="B55">
        <v>0.95</v>
      </c>
      <c r="C55">
        <v>0.98</v>
      </c>
      <c r="D55">
        <v>1.04</v>
      </c>
      <c r="E55">
        <v>1.01</v>
      </c>
      <c r="F55">
        <v>1.01</v>
      </c>
      <c r="G55">
        <v>1</v>
      </c>
    </row>
    <row r="56" spans="1:7" x14ac:dyDescent="0.25">
      <c r="A56">
        <v>62</v>
      </c>
      <c r="B56">
        <v>0.95</v>
      </c>
      <c r="C56">
        <v>0.98</v>
      </c>
      <c r="D56">
        <v>1.04</v>
      </c>
      <c r="E56">
        <v>1.01</v>
      </c>
      <c r="F56">
        <v>1.01</v>
      </c>
      <c r="G56">
        <v>1</v>
      </c>
    </row>
    <row r="57" spans="1:7" x14ac:dyDescent="0.25">
      <c r="A57">
        <v>63</v>
      </c>
      <c r="B57">
        <v>0.95</v>
      </c>
      <c r="C57">
        <v>0.98</v>
      </c>
      <c r="D57">
        <v>1.04</v>
      </c>
      <c r="E57">
        <v>1.01</v>
      </c>
      <c r="F57">
        <v>1.01</v>
      </c>
      <c r="G57">
        <v>1</v>
      </c>
    </row>
    <row r="58" spans="1:7" x14ac:dyDescent="0.25">
      <c r="A58">
        <v>64</v>
      </c>
      <c r="B58">
        <v>0.95</v>
      </c>
      <c r="C58">
        <v>0.98</v>
      </c>
      <c r="D58">
        <v>1.04</v>
      </c>
      <c r="E58">
        <v>1.01</v>
      </c>
      <c r="F58">
        <v>1.01</v>
      </c>
      <c r="G58">
        <v>1</v>
      </c>
    </row>
    <row r="59" spans="1:7" x14ac:dyDescent="0.25">
      <c r="A59">
        <v>65</v>
      </c>
      <c r="B59">
        <v>0.97</v>
      </c>
      <c r="C59">
        <v>0.98</v>
      </c>
      <c r="D59">
        <v>1.01</v>
      </c>
      <c r="E59">
        <v>1.03</v>
      </c>
      <c r="F59">
        <v>0.99</v>
      </c>
      <c r="G59">
        <v>1.02</v>
      </c>
    </row>
    <row r="60" spans="1:7" x14ac:dyDescent="0.25">
      <c r="A60">
        <v>66</v>
      </c>
      <c r="B60">
        <v>0.97</v>
      </c>
      <c r="C60">
        <v>0.98</v>
      </c>
      <c r="D60">
        <v>1.01</v>
      </c>
      <c r="E60">
        <v>1.03</v>
      </c>
      <c r="F60">
        <v>0.99</v>
      </c>
      <c r="G60">
        <v>1.02</v>
      </c>
    </row>
    <row r="61" spans="1:7" x14ac:dyDescent="0.25">
      <c r="A61">
        <v>67</v>
      </c>
      <c r="B61">
        <v>0.97</v>
      </c>
      <c r="C61">
        <v>0.98</v>
      </c>
      <c r="D61">
        <v>1.01</v>
      </c>
      <c r="E61">
        <v>1.03</v>
      </c>
      <c r="F61">
        <v>0.99</v>
      </c>
      <c r="G61">
        <v>1.02</v>
      </c>
    </row>
    <row r="62" spans="1:7" x14ac:dyDescent="0.25">
      <c r="A62">
        <v>68</v>
      </c>
      <c r="B62">
        <v>0.97</v>
      </c>
      <c r="C62">
        <v>0.98</v>
      </c>
      <c r="D62">
        <v>1.01</v>
      </c>
      <c r="E62">
        <v>1.03</v>
      </c>
      <c r="F62">
        <v>0.99</v>
      </c>
      <c r="G62">
        <v>1.02</v>
      </c>
    </row>
    <row r="63" spans="1:7" x14ac:dyDescent="0.25">
      <c r="A63">
        <v>69</v>
      </c>
      <c r="B63">
        <v>0.97</v>
      </c>
      <c r="C63">
        <v>0.98</v>
      </c>
      <c r="D63">
        <v>1.01</v>
      </c>
      <c r="E63">
        <v>1.03</v>
      </c>
      <c r="F63">
        <v>0.99</v>
      </c>
      <c r="G63">
        <v>1.02</v>
      </c>
    </row>
    <row r="64" spans="1:7" x14ac:dyDescent="0.25">
      <c r="A64">
        <v>70</v>
      </c>
      <c r="B64">
        <v>0.97</v>
      </c>
      <c r="C64">
        <v>0.98</v>
      </c>
      <c r="D64">
        <v>1.01</v>
      </c>
      <c r="E64">
        <v>1.03</v>
      </c>
      <c r="F64">
        <v>0.99</v>
      </c>
      <c r="G64">
        <v>1.02</v>
      </c>
    </row>
    <row r="65" spans="1:7" x14ac:dyDescent="0.25">
      <c r="A65">
        <v>71</v>
      </c>
      <c r="B65">
        <v>0.97</v>
      </c>
      <c r="C65">
        <v>0.98</v>
      </c>
      <c r="D65">
        <v>1.01</v>
      </c>
      <c r="E65">
        <v>1.03</v>
      </c>
      <c r="F65">
        <v>0.99</v>
      </c>
      <c r="G65">
        <v>1.02</v>
      </c>
    </row>
    <row r="66" spans="1:7" x14ac:dyDescent="0.25">
      <c r="A66">
        <v>72</v>
      </c>
      <c r="B66">
        <v>0.97</v>
      </c>
      <c r="C66">
        <v>0.98</v>
      </c>
      <c r="D66">
        <v>1.01</v>
      </c>
      <c r="E66">
        <v>1.03</v>
      </c>
      <c r="F66">
        <v>0.99</v>
      </c>
      <c r="G66">
        <v>1.02</v>
      </c>
    </row>
    <row r="67" spans="1:7" x14ac:dyDescent="0.25">
      <c r="A67">
        <v>73</v>
      </c>
      <c r="B67">
        <v>0.97</v>
      </c>
      <c r="C67">
        <v>0.98</v>
      </c>
      <c r="D67">
        <v>1.01</v>
      </c>
      <c r="E67">
        <v>1.03</v>
      </c>
      <c r="F67">
        <v>0.99</v>
      </c>
      <c r="G67">
        <v>1.02</v>
      </c>
    </row>
    <row r="68" spans="1:7" x14ac:dyDescent="0.25">
      <c r="A68">
        <v>74</v>
      </c>
      <c r="B68">
        <v>0.97</v>
      </c>
      <c r="C68">
        <v>0.98</v>
      </c>
      <c r="D68">
        <v>1.01</v>
      </c>
      <c r="E68">
        <v>1.03</v>
      </c>
      <c r="F68">
        <v>0.99</v>
      </c>
      <c r="G68">
        <v>1.02</v>
      </c>
    </row>
    <row r="69" spans="1:7" x14ac:dyDescent="0.25">
      <c r="A69">
        <v>75</v>
      </c>
      <c r="B69">
        <v>0.99</v>
      </c>
      <c r="C69">
        <v>1.04</v>
      </c>
      <c r="D69">
        <v>0.95</v>
      </c>
      <c r="E69">
        <v>1.05</v>
      </c>
      <c r="F69">
        <v>0.97</v>
      </c>
      <c r="G69">
        <v>1</v>
      </c>
    </row>
    <row r="70" spans="1:7" x14ac:dyDescent="0.25">
      <c r="A70">
        <v>76</v>
      </c>
      <c r="B70">
        <v>0.99</v>
      </c>
      <c r="C70">
        <v>1.04</v>
      </c>
      <c r="D70">
        <v>0.95</v>
      </c>
      <c r="E70">
        <v>1.05</v>
      </c>
      <c r="F70">
        <v>0.97</v>
      </c>
      <c r="G70">
        <v>1</v>
      </c>
    </row>
    <row r="71" spans="1:7" x14ac:dyDescent="0.25">
      <c r="A71">
        <v>77</v>
      </c>
      <c r="B71">
        <v>0.99</v>
      </c>
      <c r="C71">
        <v>1.04</v>
      </c>
      <c r="D71">
        <v>0.95</v>
      </c>
      <c r="E71">
        <v>1.05</v>
      </c>
      <c r="F71">
        <v>0.97</v>
      </c>
      <c r="G71">
        <v>1</v>
      </c>
    </row>
    <row r="72" spans="1:7" x14ac:dyDescent="0.25">
      <c r="A72">
        <v>78</v>
      </c>
      <c r="B72">
        <v>0.99</v>
      </c>
      <c r="C72">
        <v>1.04</v>
      </c>
      <c r="D72">
        <v>0.95</v>
      </c>
      <c r="E72">
        <v>1.05</v>
      </c>
      <c r="F72">
        <v>0.97</v>
      </c>
      <c r="G72">
        <v>1</v>
      </c>
    </row>
    <row r="73" spans="1:7" x14ac:dyDescent="0.25">
      <c r="A73">
        <v>79</v>
      </c>
      <c r="B73">
        <v>0.99</v>
      </c>
      <c r="C73">
        <v>1.04</v>
      </c>
      <c r="D73">
        <v>0.95</v>
      </c>
      <c r="E73">
        <v>1.05</v>
      </c>
      <c r="F73">
        <v>0.97</v>
      </c>
      <c r="G73">
        <v>1</v>
      </c>
    </row>
    <row r="74" spans="1:7" x14ac:dyDescent="0.25">
      <c r="A74">
        <v>80</v>
      </c>
      <c r="B74">
        <v>0.99</v>
      </c>
      <c r="C74">
        <v>1.04</v>
      </c>
      <c r="D74">
        <v>0.95</v>
      </c>
      <c r="E74">
        <v>1.05</v>
      </c>
      <c r="F74">
        <v>0.97</v>
      </c>
      <c r="G74">
        <v>1</v>
      </c>
    </row>
    <row r="75" spans="1:7" x14ac:dyDescent="0.25">
      <c r="A75">
        <v>81</v>
      </c>
      <c r="B75">
        <v>0.99</v>
      </c>
      <c r="C75">
        <v>1.04</v>
      </c>
      <c r="D75">
        <v>0.95</v>
      </c>
      <c r="E75">
        <v>1.05</v>
      </c>
      <c r="F75">
        <v>0.97</v>
      </c>
      <c r="G75">
        <v>1</v>
      </c>
    </row>
    <row r="76" spans="1:7" x14ac:dyDescent="0.25">
      <c r="A76">
        <v>82</v>
      </c>
      <c r="B76">
        <v>0.99</v>
      </c>
      <c r="C76">
        <v>1.04</v>
      </c>
      <c r="D76">
        <v>0.95</v>
      </c>
      <c r="E76">
        <v>1.05</v>
      </c>
      <c r="F76">
        <v>0.97</v>
      </c>
      <c r="G76">
        <v>1</v>
      </c>
    </row>
    <row r="77" spans="1:7" x14ac:dyDescent="0.25">
      <c r="A77">
        <v>83</v>
      </c>
      <c r="B77">
        <v>0.99</v>
      </c>
      <c r="C77">
        <v>1.04</v>
      </c>
      <c r="D77">
        <v>0.95</v>
      </c>
      <c r="E77">
        <v>1.05</v>
      </c>
      <c r="F77">
        <v>0.97</v>
      </c>
      <c r="G77">
        <v>1</v>
      </c>
    </row>
    <row r="78" spans="1:7" x14ac:dyDescent="0.25">
      <c r="A78">
        <v>84</v>
      </c>
      <c r="B78">
        <v>0.99</v>
      </c>
      <c r="C78">
        <v>1.04</v>
      </c>
      <c r="D78">
        <v>0.95</v>
      </c>
      <c r="E78">
        <v>1.05</v>
      </c>
      <c r="F78">
        <v>0.97</v>
      </c>
      <c r="G78">
        <v>1</v>
      </c>
    </row>
    <row r="79" spans="1:7" x14ac:dyDescent="0.25">
      <c r="A79">
        <v>85</v>
      </c>
      <c r="B79">
        <v>0.99</v>
      </c>
      <c r="C79">
        <v>1.04</v>
      </c>
      <c r="D79">
        <v>0.95</v>
      </c>
      <c r="E79">
        <v>1.05</v>
      </c>
      <c r="F79">
        <v>0.97</v>
      </c>
      <c r="G79">
        <v>1</v>
      </c>
    </row>
    <row r="80" spans="1:7" x14ac:dyDescent="0.25">
      <c r="A80">
        <v>86</v>
      </c>
      <c r="B80">
        <v>0.99</v>
      </c>
      <c r="C80">
        <v>1.04</v>
      </c>
      <c r="D80">
        <v>0.95</v>
      </c>
      <c r="E80">
        <v>1.05</v>
      </c>
      <c r="F80">
        <v>0.97</v>
      </c>
      <c r="G80">
        <v>1</v>
      </c>
    </row>
    <row r="81" spans="1:7" x14ac:dyDescent="0.25">
      <c r="A81">
        <v>87</v>
      </c>
      <c r="B81">
        <v>0.99</v>
      </c>
      <c r="C81">
        <v>1.04</v>
      </c>
      <c r="D81">
        <v>0.95</v>
      </c>
      <c r="E81">
        <v>1.05</v>
      </c>
      <c r="F81">
        <v>0.97</v>
      </c>
      <c r="G81">
        <v>1</v>
      </c>
    </row>
    <row r="82" spans="1:7" x14ac:dyDescent="0.25">
      <c r="A82">
        <v>88</v>
      </c>
      <c r="B82">
        <v>0.99</v>
      </c>
      <c r="C82">
        <v>1.04</v>
      </c>
      <c r="D82">
        <v>0.95</v>
      </c>
      <c r="E82">
        <v>1.05</v>
      </c>
      <c r="F82">
        <v>0.97</v>
      </c>
      <c r="G82">
        <v>1</v>
      </c>
    </row>
    <row r="83" spans="1:7" x14ac:dyDescent="0.25">
      <c r="A83">
        <v>89</v>
      </c>
      <c r="B83">
        <v>0.99</v>
      </c>
      <c r="C83">
        <v>1.04</v>
      </c>
      <c r="D83">
        <v>0.95</v>
      </c>
      <c r="E83">
        <v>1.05</v>
      </c>
      <c r="F83">
        <v>0.97</v>
      </c>
      <c r="G83">
        <v>1</v>
      </c>
    </row>
    <row r="84" spans="1:7" x14ac:dyDescent="0.25">
      <c r="A84">
        <v>90</v>
      </c>
      <c r="B84">
        <v>0.99</v>
      </c>
      <c r="C84">
        <v>1.04</v>
      </c>
      <c r="D84">
        <v>0.95</v>
      </c>
      <c r="E84">
        <v>1.05</v>
      </c>
      <c r="F84">
        <v>0.97</v>
      </c>
      <c r="G84">
        <v>1</v>
      </c>
    </row>
    <row r="85" spans="1:7" x14ac:dyDescent="0.25">
      <c r="A85">
        <v>91</v>
      </c>
      <c r="B85">
        <v>0.99</v>
      </c>
      <c r="C85">
        <v>1.04</v>
      </c>
      <c r="D85">
        <v>0.95</v>
      </c>
      <c r="E85">
        <v>1.05</v>
      </c>
      <c r="F85">
        <v>0.97</v>
      </c>
      <c r="G85">
        <v>1</v>
      </c>
    </row>
    <row r="86" spans="1:7" x14ac:dyDescent="0.25">
      <c r="A86">
        <v>92</v>
      </c>
      <c r="B86">
        <v>0.99</v>
      </c>
      <c r="C86">
        <v>1.04</v>
      </c>
      <c r="D86">
        <v>0.95</v>
      </c>
      <c r="E86">
        <v>1.05</v>
      </c>
      <c r="F86">
        <v>0.97</v>
      </c>
      <c r="G86">
        <v>1</v>
      </c>
    </row>
    <row r="87" spans="1:7" x14ac:dyDescent="0.25">
      <c r="A87">
        <v>93</v>
      </c>
      <c r="B87">
        <v>0.99</v>
      </c>
      <c r="C87">
        <v>1.04</v>
      </c>
      <c r="D87">
        <v>0.95</v>
      </c>
      <c r="E87">
        <v>1.05</v>
      </c>
      <c r="F87">
        <v>0.97</v>
      </c>
      <c r="G87">
        <v>1</v>
      </c>
    </row>
    <row r="88" spans="1:7" x14ac:dyDescent="0.25">
      <c r="A88">
        <v>94</v>
      </c>
      <c r="B88">
        <v>0.99</v>
      </c>
      <c r="C88">
        <v>1.04</v>
      </c>
      <c r="D88">
        <v>0.95</v>
      </c>
      <c r="E88">
        <v>1.05</v>
      </c>
      <c r="F88">
        <v>0.97</v>
      </c>
      <c r="G88">
        <v>1</v>
      </c>
    </row>
    <row r="89" spans="1:7" x14ac:dyDescent="0.25">
      <c r="A89">
        <v>95</v>
      </c>
      <c r="B89">
        <v>0.99</v>
      </c>
      <c r="C89">
        <v>1.04</v>
      </c>
      <c r="D89">
        <v>0.95</v>
      </c>
      <c r="E89">
        <v>1.05</v>
      </c>
      <c r="F89">
        <v>0.97</v>
      </c>
      <c r="G89">
        <v>1</v>
      </c>
    </row>
    <row r="90" spans="1:7" x14ac:dyDescent="0.25">
      <c r="A90">
        <v>96</v>
      </c>
      <c r="B90">
        <v>0.99</v>
      </c>
      <c r="C90">
        <v>1.04</v>
      </c>
      <c r="D90">
        <v>0.95</v>
      </c>
      <c r="E90">
        <v>1.05</v>
      </c>
      <c r="F90">
        <v>0.97</v>
      </c>
      <c r="G90">
        <v>1</v>
      </c>
    </row>
    <row r="91" spans="1:7" x14ac:dyDescent="0.25">
      <c r="A91">
        <v>97</v>
      </c>
      <c r="B91">
        <v>0.99</v>
      </c>
      <c r="C91">
        <v>1.04</v>
      </c>
      <c r="D91">
        <v>0.95</v>
      </c>
      <c r="E91">
        <v>1.05</v>
      </c>
      <c r="F91">
        <v>0.97</v>
      </c>
      <c r="G91">
        <v>1</v>
      </c>
    </row>
    <row r="92" spans="1:7" x14ac:dyDescent="0.25">
      <c r="A92">
        <v>98</v>
      </c>
      <c r="B92">
        <v>0.99</v>
      </c>
      <c r="C92">
        <v>1.04</v>
      </c>
      <c r="D92">
        <v>0.95</v>
      </c>
      <c r="E92">
        <v>1.05</v>
      </c>
      <c r="F92">
        <v>0.97</v>
      </c>
      <c r="G92">
        <v>1</v>
      </c>
    </row>
    <row r="93" spans="1:7" x14ac:dyDescent="0.25">
      <c r="A93">
        <v>99</v>
      </c>
      <c r="B93">
        <v>0.99</v>
      </c>
      <c r="C93">
        <v>1.04</v>
      </c>
      <c r="D93">
        <v>0.95</v>
      </c>
      <c r="E93">
        <v>1.05</v>
      </c>
      <c r="F93">
        <v>0.97</v>
      </c>
      <c r="G93">
        <v>1</v>
      </c>
    </row>
    <row r="94" spans="1:7" x14ac:dyDescent="0.25">
      <c r="A94">
        <v>100</v>
      </c>
      <c r="B94">
        <v>0.99</v>
      </c>
      <c r="C94">
        <v>1.04</v>
      </c>
      <c r="D94">
        <v>0.95</v>
      </c>
      <c r="E94">
        <v>1.05</v>
      </c>
      <c r="F94">
        <v>0.97</v>
      </c>
      <c r="G94">
        <v>1</v>
      </c>
    </row>
    <row r="95" spans="1:7" x14ac:dyDescent="0.25">
      <c r="A95">
        <v>101</v>
      </c>
      <c r="B95">
        <v>0.99</v>
      </c>
      <c r="C95">
        <v>1.04</v>
      </c>
      <c r="D95">
        <v>0.95</v>
      </c>
      <c r="E95">
        <v>1.05</v>
      </c>
      <c r="F95">
        <v>0.97</v>
      </c>
      <c r="G95">
        <v>1</v>
      </c>
    </row>
    <row r="96" spans="1:7" x14ac:dyDescent="0.25">
      <c r="A96">
        <v>102</v>
      </c>
      <c r="B96">
        <v>0.99</v>
      </c>
      <c r="C96">
        <v>1.04</v>
      </c>
      <c r="D96">
        <v>0.95</v>
      </c>
      <c r="E96">
        <v>1.05</v>
      </c>
      <c r="F96">
        <v>0.97</v>
      </c>
      <c r="G96">
        <v>1</v>
      </c>
    </row>
    <row r="97" spans="1:7" x14ac:dyDescent="0.25">
      <c r="A97">
        <v>103</v>
      </c>
      <c r="B97">
        <v>0.99</v>
      </c>
      <c r="C97">
        <v>1.04</v>
      </c>
      <c r="D97">
        <v>0.95</v>
      </c>
      <c r="E97">
        <v>1.05</v>
      </c>
      <c r="F97">
        <v>0.97</v>
      </c>
      <c r="G97">
        <v>1</v>
      </c>
    </row>
    <row r="98" spans="1:7" x14ac:dyDescent="0.25">
      <c r="A98">
        <v>104</v>
      </c>
      <c r="B98">
        <v>0.99</v>
      </c>
      <c r="C98">
        <v>1.04</v>
      </c>
      <c r="D98">
        <v>0.95</v>
      </c>
      <c r="E98">
        <v>1.05</v>
      </c>
      <c r="F98">
        <v>0.97</v>
      </c>
      <c r="G98">
        <v>1</v>
      </c>
    </row>
    <row r="99" spans="1:7" x14ac:dyDescent="0.25">
      <c r="A99">
        <v>105</v>
      </c>
      <c r="B99">
        <v>0.99</v>
      </c>
      <c r="C99">
        <v>1.04</v>
      </c>
      <c r="D99">
        <v>0.95</v>
      </c>
      <c r="E99">
        <v>1.05</v>
      </c>
      <c r="F99">
        <v>0.97</v>
      </c>
      <c r="G99">
        <v>1</v>
      </c>
    </row>
  </sheetData>
  <mergeCells count="2">
    <mergeCell ref="A1:B1"/>
    <mergeCell ref="A10:B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4F2A-5AA2-4B65-AAA7-CD2FEA4DEB0C}">
  <sheetPr codeName="Sheet9"/>
  <dimension ref="A1:M21"/>
  <sheetViews>
    <sheetView tabSelected="1" workbookViewId="0">
      <selection activeCell="B7" sqref="B7"/>
    </sheetView>
  </sheetViews>
  <sheetFormatPr defaultRowHeight="15" x14ac:dyDescent="0.25"/>
  <cols>
    <col min="1" max="1" width="80.140625" bestFit="1" customWidth="1"/>
    <col min="2" max="2" width="118.5703125" bestFit="1" customWidth="1"/>
  </cols>
  <sheetData>
    <row r="1" spans="1:13" ht="21" x14ac:dyDescent="0.35">
      <c r="A1" s="109" t="s">
        <v>481</v>
      </c>
      <c r="B1" s="110"/>
    </row>
    <row r="2" spans="1:13" ht="21" x14ac:dyDescent="0.35">
      <c r="A2" s="111" t="s">
        <v>482</v>
      </c>
      <c r="B2" s="112"/>
    </row>
    <row r="3" spans="1:13" ht="21" x14ac:dyDescent="0.35">
      <c r="A3" s="113" t="s">
        <v>483</v>
      </c>
      <c r="B3" s="114"/>
    </row>
    <row r="4" spans="1:13" x14ac:dyDescent="0.25">
      <c r="A4" s="101"/>
      <c r="B4" s="103"/>
    </row>
    <row r="5" spans="1:13" ht="15.75" x14ac:dyDescent="0.25">
      <c r="A5" s="115" t="s">
        <v>484</v>
      </c>
      <c r="B5" s="116"/>
    </row>
    <row r="6" spans="1:13" ht="141" customHeight="1" x14ac:dyDescent="0.25">
      <c r="A6" s="107" t="s">
        <v>487</v>
      </c>
      <c r="B6" s="108"/>
      <c r="C6" s="62"/>
      <c r="D6" s="62"/>
      <c r="E6" s="62"/>
      <c r="F6" s="62"/>
      <c r="G6" s="62"/>
      <c r="H6" s="62"/>
      <c r="I6" s="62"/>
      <c r="J6" s="62"/>
      <c r="K6" s="62"/>
      <c r="L6" s="62"/>
      <c r="M6" s="62"/>
    </row>
    <row r="7" spans="1:13" x14ac:dyDescent="0.25">
      <c r="A7" s="3"/>
      <c r="B7" s="17"/>
    </row>
    <row r="8" spans="1:13" s="5" customFormat="1" ht="15.75" x14ac:dyDescent="0.25">
      <c r="A8" s="105" t="s">
        <v>480</v>
      </c>
      <c r="B8" s="106"/>
    </row>
    <row r="9" spans="1:13" x14ac:dyDescent="0.25">
      <c r="A9" s="31" t="s">
        <v>461</v>
      </c>
      <c r="B9" s="63" t="s">
        <v>458</v>
      </c>
    </row>
    <row r="10" spans="1:13" x14ac:dyDescent="0.25">
      <c r="A10" s="23" t="s">
        <v>463</v>
      </c>
      <c r="B10" s="63" t="s">
        <v>459</v>
      </c>
    </row>
    <row r="11" spans="1:13" x14ac:dyDescent="0.25">
      <c r="A11" s="23" t="s">
        <v>462</v>
      </c>
      <c r="B11" s="63" t="s">
        <v>460</v>
      </c>
    </row>
    <row r="12" spans="1:13" x14ac:dyDescent="0.25">
      <c r="A12" s="23" t="s">
        <v>464</v>
      </c>
      <c r="B12" s="63" t="s">
        <v>465</v>
      </c>
    </row>
    <row r="13" spans="1:13" x14ac:dyDescent="0.25">
      <c r="A13" s="23" t="s">
        <v>467</v>
      </c>
      <c r="B13" s="63" t="s">
        <v>466</v>
      </c>
    </row>
    <row r="14" spans="1:13" x14ac:dyDescent="0.25">
      <c r="A14" s="23" t="s">
        <v>468</v>
      </c>
      <c r="B14" s="63" t="s">
        <v>469</v>
      </c>
    </row>
    <row r="15" spans="1:13" x14ac:dyDescent="0.25">
      <c r="A15" s="23" t="s">
        <v>471</v>
      </c>
      <c r="B15" s="63" t="s">
        <v>470</v>
      </c>
    </row>
    <row r="16" spans="1:13" x14ac:dyDescent="0.25">
      <c r="A16" s="23" t="s">
        <v>472</v>
      </c>
      <c r="B16" s="63" t="s">
        <v>197</v>
      </c>
    </row>
    <row r="17" spans="1:2" x14ac:dyDescent="0.25">
      <c r="A17" s="23" t="s">
        <v>473</v>
      </c>
      <c r="B17" s="63" t="s">
        <v>210</v>
      </c>
    </row>
    <row r="18" spans="1:2" x14ac:dyDescent="0.25">
      <c r="A18" s="23" t="s">
        <v>474</v>
      </c>
      <c r="B18" s="63" t="s">
        <v>210</v>
      </c>
    </row>
    <row r="19" spans="1:2" x14ac:dyDescent="0.25">
      <c r="A19" s="23" t="s">
        <v>475</v>
      </c>
      <c r="B19" s="63" t="s">
        <v>477</v>
      </c>
    </row>
    <row r="20" spans="1:2" x14ac:dyDescent="0.25">
      <c r="A20" s="23" t="s">
        <v>476</v>
      </c>
      <c r="B20" s="63" t="s">
        <v>477</v>
      </c>
    </row>
    <row r="21" spans="1:2" x14ac:dyDescent="0.25">
      <c r="A21" s="22" t="s">
        <v>478</v>
      </c>
      <c r="B21" s="64" t="s">
        <v>479</v>
      </c>
    </row>
  </sheetData>
  <mergeCells count="7">
    <mergeCell ref="A8:B8"/>
    <mergeCell ref="A4:B4"/>
    <mergeCell ref="A6:B6"/>
    <mergeCell ref="A1:B1"/>
    <mergeCell ref="A2:B2"/>
    <mergeCell ref="A3:B3"/>
    <mergeCell ref="A5:B5"/>
  </mergeCells>
  <hyperlinks>
    <hyperlink ref="B16" r:id="rId1" xr:uid="{4908F63B-1D56-4363-B4FF-38CC95952492}"/>
    <hyperlink ref="B17" r:id="rId2" xr:uid="{01B51D06-9053-49A6-A3FC-7C539E9B61AF}"/>
    <hyperlink ref="B9" r:id="rId3" location="4" display="https://www.medscape.com/slideshow/2018-compensation-overview-6009667 - 4" xr:uid="{C8590ECC-F390-4223-9D1F-4308D43B690E}"/>
    <hyperlink ref="B10" r:id="rId4" xr:uid="{70A104B4-4CD1-4D7E-B69B-C4F58AB9A229}"/>
    <hyperlink ref="B11" r:id="rId5" xr:uid="{835C78C3-B14A-4444-9657-DBCA2A5F377F}"/>
    <hyperlink ref="B12" r:id="rId6" xr:uid="{55C65A42-FECF-484D-BC35-7629C7CA0B59}"/>
    <hyperlink ref="B13" r:id="rId7" xr:uid="{1463ADD5-A2DE-43D0-9A03-591384065D44}"/>
    <hyperlink ref="B14" r:id="rId8" xr:uid="{5D16ECDB-9CD8-463F-B661-851C0CA1405F}"/>
    <hyperlink ref="B15" r:id="rId9" xr:uid="{BAAD2303-6BE3-4154-88FD-53448789CD2E}"/>
    <hyperlink ref="B18" r:id="rId10" xr:uid="{8AD9D171-B275-4E63-B9A4-134381BB2389}"/>
    <hyperlink ref="B19" r:id="rId11" xr:uid="{4B5BFBA1-A2B5-432A-B19E-3C3017B1645F}"/>
    <hyperlink ref="B20" r:id="rId12" xr:uid="{622596E0-DD03-4EDB-8EC7-4C274C377A77}"/>
    <hyperlink ref="B21" r:id="rId13" xr:uid="{C52C3ADA-BD55-4F22-8300-10A42E6800A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563EB-1E27-4979-B46E-2F08FB0052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vt:lpstr>
      <vt:lpstr>Compensation Numbers</vt:lpstr>
      <vt:lpstr>Location Variance</vt:lpstr>
      <vt:lpstr>Calculations</vt:lpstr>
      <vt:lpstr>Income Distribution</vt:lpstr>
      <vt:lpstr>Asset Distribution</vt:lpstr>
      <vt:lpstr>Age Multiplier</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Hess, Jacob</dc:creator>
  <cp:lastModifiedBy>Hess, Jacob</cp:lastModifiedBy>
  <cp:lastPrinted>2019-02-06T15:53:40Z</cp:lastPrinted>
  <dcterms:created xsi:type="dcterms:W3CDTF">2018-06-07T14:25:58Z</dcterms:created>
  <dcterms:modified xsi:type="dcterms:W3CDTF">2019-06-10T13:21:59Z</dcterms:modified>
</cp:coreProperties>
</file>